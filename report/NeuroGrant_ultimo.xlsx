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ANDI" sheetId="1" state="visible" r:id="rId1"/>
    <sheet xmlns:r="http://schemas.openxmlformats.org/officeDocument/2006/relationships" name="FONTI" sheetId="2" state="visible" r:id="rId2"/>
    <sheet xmlns:r="http://schemas.openxmlformats.org/officeDocument/2006/relationships" name="LOG" sheetId="3" state="visible" r:id="rId3"/>
  </sheets>
  <definedNames>
    <definedName name="_xlnm._FilterDatabase" localSheetId="0" hidden="1">'BANDI'!$A$1:$AE$267</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4">
    <font>
      <name val="Calibri"/>
      <family val="2"/>
      <color theme="1"/>
      <sz val="11"/>
      <scheme val="minor"/>
    </font>
    <font>
      <name val="Arial"/>
      <b val="1"/>
      <color rgb="00FFFFFF"/>
      <sz val="10"/>
    </font>
    <font>
      <name val="Arial"/>
      <sz val="10"/>
    </font>
    <font>
      <name val="Arial"/>
      <color rgb="001F5FA8"/>
      <sz val="10"/>
      <u val="single"/>
    </font>
  </fonts>
  <fills count="3">
    <fill>
      <patternFill/>
    </fill>
    <fill>
      <patternFill patternType="gray125"/>
    </fill>
    <fill>
      <patternFill patternType="solid">
        <fgColor rgb="001F4E5A"/>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3" fontId="2" fillId="0" borderId="0" applyAlignment="1" pivotButton="0" quotePrefix="0" xfId="0">
      <alignment vertical="top"/>
    </xf>
    <xf numFmtId="165" fontId="2" fillId="0" borderId="0" applyAlignment="1" pivotButton="0" quotePrefix="0" xfId="0">
      <alignment vertical="top"/>
    </xf>
    <xf numFmtId="1" fontId="2" fillId="0" borderId="0" applyAlignment="1" pivotButton="0" quotePrefix="0" xfId="0">
      <alignment vertical="top"/>
    </xf>
    <xf numFmtId="0" fontId="3" fillId="0" borderId="0" applyAlignment="1" pivotButton="0" quotePrefix="0" xfId="0">
      <alignment vertical="top"/>
    </xf>
    <xf numFmtId="0" fontId="1" fillId="2" borderId="0" pivotButton="0" quotePrefix="0" xfId="0"/>
  </cellXfs>
  <cellStyles count="1">
    <cellStyle name="Normal" xfId="0" builtinId="0" hidden="0"/>
  </cellStyles>
  <dxfs count="1">
    <dxf>
      <fill>
        <patternFill patternType="solid">
          <fgColor rgb="00F6D5C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NeuroGrant</author>
  </authors>
  <commentList>
    <comment ref="O1" authorId="0" shapeId="0">
      <text>
        <t>Stima: combina progetti finanziabili e, se disponibile, il tasso di successo storico del programma (file tassi_successo.csv). La probabilità reale dipende dal numero di domande, noto solo a bando chiuso.</t>
      </text>
    </comment>
    <comment ref="AE1" authorId="0" shapeId="0">
      <text>
        <t>Campo libero per i ricercatori. Il file viene rigenerato ogni settimana: le note scritte qui non vengono conservate nella versione successiva.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rants.gov/search-results-detail/363326" TargetMode="External" Id="rId1"/><Relationship Type="http://schemas.openxmlformats.org/officeDocument/2006/relationships/hyperlink" Target="https://www.grants.gov/search-results-detail/363941" TargetMode="External" Id="rId2"/><Relationship Type="http://schemas.openxmlformats.org/officeDocument/2006/relationships/hyperlink" Target="https://braincanada.ca/research/funding-opportunities" TargetMode="External" Id="rId3"/><Relationship Type="http://schemas.openxmlformats.org/officeDocument/2006/relationships/hyperlink" Target="https://ec.europa.eu/info/funding-tenders/opportunities/portal/screen/opportunities/topic-details/HORIZON-EIC-2026-PATHFINDERCHALLENGES-01-03" TargetMode="External" Id="rId4"/><Relationship Type="http://schemas.openxmlformats.org/officeDocument/2006/relationships/hyperlink" Target="https://ec.europa.eu/info/funding-tenders/opportunities/portal/screen/opportunities/topic-details/HORIZON-EIC-2026-PATHFINDERCHALLENGES-01-02" TargetMode="External" Id="rId5"/><Relationship Type="http://schemas.openxmlformats.org/officeDocument/2006/relationships/hyperlink" Target="https://ec.europa.eu/info/funding-tenders/opportunities/portal/screen/opportunities/topic-details/HORIZON-EIC-2026-PATHFINDERCHALLENGES-01-01" TargetMode="External" Id="rId6"/><Relationship Type="http://schemas.openxmlformats.org/officeDocument/2006/relationships/hyperlink" Target="https://www.grants.gov/search-results-detail/363900" TargetMode="External" Id="rId7"/><Relationship Type="http://schemas.openxmlformats.org/officeDocument/2006/relationships/hyperlink" Target="https://www.fondazionecariplo.it/wp-content/uploads/2025/12/testo-del-bando.pdf" TargetMode="External" Id="rId8"/><Relationship Type="http://schemas.openxmlformats.org/officeDocument/2006/relationships/hyperlink" Target="https://www.grants.gov/search-results-detail/361520" TargetMode="External" Id="rId9"/><Relationship Type="http://schemas.openxmlformats.org/officeDocument/2006/relationships/hyperlink" Target="https://www.grants.gov/search-results-detail/363898" TargetMode="External" Id="rId10"/><Relationship Type="http://schemas.openxmlformats.org/officeDocument/2006/relationships/hyperlink" Target="https://www.compagniadisanpaolo.it/it/prossime-opportunita-di-sostegno/" TargetMode="External" Id="rId11"/><Relationship Type="http://schemas.openxmlformats.org/officeDocument/2006/relationships/hyperlink" Target="https://www.fondazionecrt.it/wp-content/uploads/2026/07/bando-legami-in-comune-def-compressed-1.pdf" TargetMode="External" Id="rId12"/><Relationship Type="http://schemas.openxmlformats.org/officeDocument/2006/relationships/hyperlink" Target="https://vivensafoundation.org.uk/wp-content/uploads/2026/09/26-09-Excellence-Awards_Vivensa-Academy-webtext_main-website.pdf" TargetMode="External" Id="rId13"/><Relationship Type="http://schemas.openxmlformats.org/officeDocument/2006/relationships/hyperlink" Target="https://www.michaeljfox.org/grant/bridge-funding-disrupted-neurodegenerative-research-grant-program-bfdn-powering-next" TargetMode="External" Id="rId14"/><Relationship Type="http://schemas.openxmlformats.org/officeDocument/2006/relationships/hyperlink" Target="https://www.grants.gov/search-results-detail/362454" TargetMode="External" Id="rId15"/><Relationship Type="http://schemas.openxmlformats.org/officeDocument/2006/relationships/hyperlink" Target="https://www.grants.gov/search-results-detail/360643" TargetMode="External" Id="rId16"/><Relationship Type="http://schemas.openxmlformats.org/officeDocument/2006/relationships/hyperlink" Target="https://www.grants.gov/search-results-detail/360644" TargetMode="External" Id="rId17"/><Relationship Type="http://schemas.openxmlformats.org/officeDocument/2006/relationships/hyperlink" Target="https://ec.europa.eu/info/funding-tenders/opportunities/portal/screen/opportunities/topic-details/HORIZON-CL3-2026-01-DRS-05" TargetMode="External" Id="rId18"/><Relationship Type="http://schemas.openxmlformats.org/officeDocument/2006/relationships/hyperlink" Target="https://ec.europa.eu/info/funding-tenders/opportunities/portal/screen/opportunities/topic-details/HORIZON-CL3-2026-01-BM-02" TargetMode="External" Id="rId19"/><Relationship Type="http://schemas.openxmlformats.org/officeDocument/2006/relationships/hyperlink" Target="https://ec.europa.eu/info/funding-tenders/opportunities/portal/screen/opportunities/topic-details/HORIZON-CL3-2026-01-DRS-03" TargetMode="External" Id="rId20"/><Relationship Type="http://schemas.openxmlformats.org/officeDocument/2006/relationships/hyperlink" Target="https://ec.europa.eu/info/funding-tenders/opportunities/portal/screen/opportunities/topic-details/HORIZON-CL3-2026-01-DRS-02" TargetMode="External" Id="rId21"/><Relationship Type="http://schemas.openxmlformats.org/officeDocument/2006/relationships/hyperlink" Target="https://ec.europa.eu/info/funding-tenders/opportunities/portal/screen/opportunities/topic-details/HORIZON-CL3-2026-01-DRS-01" TargetMode="External" Id="rId22"/><Relationship Type="http://schemas.openxmlformats.org/officeDocument/2006/relationships/hyperlink" Target="https://ec.europa.eu/info/funding-tenders/opportunities/portal/screen/opportunities/topic-details/HORIZON-CL3-2026-01-FCT-03" TargetMode="External" Id="rId23"/><Relationship Type="http://schemas.openxmlformats.org/officeDocument/2006/relationships/hyperlink" Target="https://www.grants.gov/search-results-detail/361450" TargetMode="External" Id="rId24"/><Relationship Type="http://schemas.openxmlformats.org/officeDocument/2006/relationships/hyperlink" Target="https://www.grants.gov/search-results-detail/362868" TargetMode="External" Id="rId25"/><Relationship Type="http://schemas.openxmlformats.org/officeDocument/2006/relationships/hyperlink" Target="https://www.grants.gov/search-results-detail/362866" TargetMode="External" Id="rId26"/><Relationship Type="http://schemas.openxmlformats.org/officeDocument/2006/relationships/hyperlink" Target="https://www.grants.gov/search-results-detail/361287" TargetMode="External" Id="rId27"/><Relationship Type="http://schemas.openxmlformats.org/officeDocument/2006/relationships/hyperlink" Target="https://www.grants.gov/search-results-detail/361522" TargetMode="External" Id="rId28"/><Relationship Type="http://schemas.openxmlformats.org/officeDocument/2006/relationships/hyperlink" Target="https://www.grants.gov/search-results-detail/359740" TargetMode="External" Id="rId29"/><Relationship Type="http://schemas.openxmlformats.org/officeDocument/2006/relationships/hyperlink" Target="https://www.grants.gov/search-results-detail/362225" TargetMode="External" Id="rId30"/><Relationship Type="http://schemas.openxmlformats.org/officeDocument/2006/relationships/hyperlink" Target="https://www.grants.gov/search-results-detail/362520" TargetMode="External" Id="rId31"/><Relationship Type="http://schemas.openxmlformats.org/officeDocument/2006/relationships/hyperlink" Target="https://www.grants.gov/search-results-detail/364047" TargetMode="External" Id="rId32"/><Relationship Type="http://schemas.openxmlformats.org/officeDocument/2006/relationships/hyperlink" Target="https://www.grants.gov/search-results-detail/357256" TargetMode="External" Id="rId33"/><Relationship Type="http://schemas.openxmlformats.org/officeDocument/2006/relationships/hyperlink" Target="https://www.grants.gov/search-results-detail/357343" TargetMode="External" Id="rId34"/><Relationship Type="http://schemas.openxmlformats.org/officeDocument/2006/relationships/hyperlink" Target="https://www.grants.gov/search-results-detail/359168" TargetMode="External" Id="rId35"/><Relationship Type="http://schemas.openxmlformats.org/officeDocument/2006/relationships/hyperlink" Target="https://fondazionecrfirenze.it/wp-content/uploads/2026/07/Benessere_scuola_bando_2026.pdf" TargetMode="External" Id="rId36"/><Relationship Type="http://schemas.openxmlformats.org/officeDocument/2006/relationships/hyperlink" Target="https://ec.europa.eu/info/funding-tenders/opportunities/portal/screen/opportunities/topic-details/HORIZON-NEB-2026-01-REGEN-01" TargetMode="External" Id="rId37"/><Relationship Type="http://schemas.openxmlformats.org/officeDocument/2006/relationships/hyperlink" Target="https://ec.europa.eu/info/funding-tenders/opportunities/portal/screen/opportunities/topic-details/HORIZON-NEB-2026-01-PARTICIPATION-03" TargetMode="External" Id="rId38"/><Relationship Type="http://schemas.openxmlformats.org/officeDocument/2006/relationships/hyperlink" Target="https://ec.europa.eu/info/funding-tenders/opportunities/portal/screen/opportunities/topic-details/HORIZON-NEB-2026-01-REGEN-02" TargetMode="External" Id="rId39"/><Relationship Type="http://schemas.openxmlformats.org/officeDocument/2006/relationships/hyperlink" Target="https://www.grants.gov/search-results-detail/363115" TargetMode="External" Id="rId40"/><Relationship Type="http://schemas.openxmlformats.org/officeDocument/2006/relationships/hyperlink" Target="https://www.grants.gov/search-results-detail/363963" TargetMode="External" Id="rId41"/><Relationship Type="http://schemas.openxmlformats.org/officeDocument/2006/relationships/hyperlink" Target="https://www.grants.gov/search-results-detail/363964" TargetMode="External" Id="rId42"/><Relationship Type="http://schemas.openxmlformats.org/officeDocument/2006/relationships/hyperlink" Target="https://www.grants.gov/search-results-detail/363965" TargetMode="External" Id="rId43"/><Relationship Type="http://schemas.openxmlformats.org/officeDocument/2006/relationships/hyperlink" Target="https://www.grants.gov/search-results-detail/363054" TargetMode="External" Id="rId44"/><Relationship Type="http://schemas.openxmlformats.org/officeDocument/2006/relationships/hyperlink" Target="https://fondazionecrfirenze.it/wp-content/uploads/2026/09/01-BANDO_Spazi_Verdi_Attivi_2026.pdf" TargetMode="External" Id="rId45"/><Relationship Type="http://schemas.openxmlformats.org/officeDocument/2006/relationships/hyperlink" Target="https://www.grants.gov/search-results-detail/364087" TargetMode="External" Id="rId46"/><Relationship Type="http://schemas.openxmlformats.org/officeDocument/2006/relationships/hyperlink" Target="https://www.grants.gov/search-results-detail/363971" TargetMode="External" Id="rId47"/><Relationship Type="http://schemas.openxmlformats.org/officeDocument/2006/relationships/hyperlink" Target="https://www.grants.gov/search-results-detail/363972" TargetMode="External" Id="rId48"/><Relationship Type="http://schemas.openxmlformats.org/officeDocument/2006/relationships/hyperlink" Target="https://www.grants.gov/search-results-detail/363966" TargetMode="External" Id="rId49"/><Relationship Type="http://schemas.openxmlformats.org/officeDocument/2006/relationships/hyperlink" Target="https://www.grants.gov/search-results-detail/364018" TargetMode="External" Id="rId50"/><Relationship Type="http://schemas.openxmlformats.org/officeDocument/2006/relationships/hyperlink" Target="https://www.grants.gov/search-results-detail/364019" TargetMode="External" Id="rId51"/><Relationship Type="http://schemas.openxmlformats.org/officeDocument/2006/relationships/hyperlink" Target="https://ec.europa.eu/info/funding-tenders/opportunities/portal/screen/opportunities/topic-details/HORIZON-EIE-2027-02-CONNECT-01" TargetMode="External" Id="rId52"/><Relationship Type="http://schemas.openxmlformats.org/officeDocument/2006/relationships/hyperlink" Target="https://ec.europa.eu/info/funding-tenders/opportunities/portal/screen/opportunities/topic-details/HORIZON-NATURE-2027-02-04" TargetMode="External" Id="rId53"/><Relationship Type="http://schemas.openxmlformats.org/officeDocument/2006/relationships/hyperlink" Target="https://www.grants.gov/search-results-detail/355219" TargetMode="External" Id="rId54"/><Relationship Type="http://schemas.openxmlformats.org/officeDocument/2006/relationships/hyperlink" Target="https://foundation4pt.org/foundation-funding-opportunities/scholarships/" TargetMode="External" Id="rId55"/><Relationship Type="http://schemas.openxmlformats.org/officeDocument/2006/relationships/hyperlink" Target="https://ec.europa.eu/info/funding-tenders/opportunities/portal/screen/opportunities/topic-details/HORIZON-JU-EUROHPC-2026-QML-07-01" TargetMode="External" Id="rId56"/><Relationship Type="http://schemas.openxmlformats.org/officeDocument/2006/relationships/hyperlink" Target="https://www.grants.gov/search-results-detail/352455" TargetMode="External" Id="rId57"/><Relationship Type="http://schemas.openxmlformats.org/officeDocument/2006/relationships/hyperlink" Target="https://www.grants.gov/search-results-detail/363967" TargetMode="External" Id="rId58"/><Relationship Type="http://schemas.openxmlformats.org/officeDocument/2006/relationships/hyperlink" Target="https://www.grants.gov/search-results-detail/350561" TargetMode="External" Id="rId59"/><Relationship Type="http://schemas.openxmlformats.org/officeDocument/2006/relationships/hyperlink" Target="https://ec.europa.eu/info/funding-tenders/opportunities/portal/screen/opportunities/topic-details/HORIZON-CL4-2027-02-DIGITAL-EMERGING-52-two-stage" TargetMode="External" Id="rId60"/><Relationship Type="http://schemas.openxmlformats.org/officeDocument/2006/relationships/hyperlink" Target="https://www.grants.gov/search-results-detail/362097" TargetMode="External" Id="rId61"/><Relationship Type="http://schemas.openxmlformats.org/officeDocument/2006/relationships/hyperlink" Target="https://www.grants.gov/search-results-detail/363292" TargetMode="External" Id="rId62"/><Relationship Type="http://schemas.openxmlformats.org/officeDocument/2006/relationships/hyperlink" Target="https://www.grants.gov/search-results-detail/356129" TargetMode="External" Id="rId63"/><Relationship Type="http://schemas.openxmlformats.org/officeDocument/2006/relationships/hyperlink" Target="https://www.grants.gov/search-results-detail/357498" TargetMode="External" Id="rId64"/><Relationship Type="http://schemas.openxmlformats.org/officeDocument/2006/relationships/hyperlink" Target="https://www.grants.gov/search-results-detail/363195" TargetMode="External" Id="rId65"/><Relationship Type="http://schemas.openxmlformats.org/officeDocument/2006/relationships/hyperlink" Target="https://www.grants.gov/search-results-detail/363555" TargetMode="External" Id="rId66"/><Relationship Type="http://schemas.openxmlformats.org/officeDocument/2006/relationships/hyperlink" Target="https://www.grants.gov/search-results-detail/362752" TargetMode="External" Id="rId67"/><Relationship Type="http://schemas.openxmlformats.org/officeDocument/2006/relationships/hyperlink" Target="https://www.grants.gov/search-results-detail/360676" TargetMode="External" Id="rId68"/><Relationship Type="http://schemas.openxmlformats.org/officeDocument/2006/relationships/hyperlink" Target="https://www.grants.gov/search-results-detail/363398" TargetMode="External" Id="rId69"/><Relationship Type="http://schemas.openxmlformats.org/officeDocument/2006/relationships/hyperlink" Target="https://www.grants.gov/search-results-detail/363969" TargetMode="External" Id="rId70"/><Relationship Type="http://schemas.openxmlformats.org/officeDocument/2006/relationships/hyperlink" Target="https://www.grants.gov/search-results-detail/363341" TargetMode="External" Id="rId71"/><Relationship Type="http://schemas.openxmlformats.org/officeDocument/2006/relationships/hyperlink" Target="https://www.grants.gov/search-results-detail/363975" TargetMode="External" Id="rId72"/><Relationship Type="http://schemas.openxmlformats.org/officeDocument/2006/relationships/hyperlink" Target="https://www.grants.gov/search-results-detail/363970" TargetMode="External" Id="rId73"/><Relationship Type="http://schemas.openxmlformats.org/officeDocument/2006/relationships/hyperlink" Target="https://www.grants.gov/search-results-detail/363968" TargetMode="External" Id="rId74"/><Relationship Type="http://schemas.openxmlformats.org/officeDocument/2006/relationships/hyperlink" Target="https://www.grants.gov/search-results-detail/363973" TargetMode="External" Id="rId75"/><Relationship Type="http://schemas.openxmlformats.org/officeDocument/2006/relationships/hyperlink" Target="https://www.grants.gov/search-results-detail/363329" TargetMode="External" Id="rId76"/><Relationship Type="http://schemas.openxmlformats.org/officeDocument/2006/relationships/hyperlink" Target="https://www.grants.gov/search-results-detail/363974" TargetMode="External" Id="rId77"/><Relationship Type="http://schemas.openxmlformats.org/officeDocument/2006/relationships/hyperlink" Target="https://www.grants.gov/search-results-detail/363962" TargetMode="External" Id="rId78"/><Relationship Type="http://schemas.openxmlformats.org/officeDocument/2006/relationships/hyperlink" Target="https://www.grants.gov/search-results-detail/357377" TargetMode="External" Id="rId79"/><Relationship Type="http://schemas.openxmlformats.org/officeDocument/2006/relationships/hyperlink" Target="https://www.grants.gov/search-results-detail/357378" TargetMode="External" Id="rId80"/><Relationship Type="http://schemas.openxmlformats.org/officeDocument/2006/relationships/hyperlink" Target="https://www.grants.gov/search-results-detail/363945" TargetMode="External" Id="rId81"/><Relationship Type="http://schemas.openxmlformats.org/officeDocument/2006/relationships/hyperlink" Target="https://www.grants.gov/search-results-detail/363915" TargetMode="External" Id="rId82"/><Relationship Type="http://schemas.openxmlformats.org/officeDocument/2006/relationships/hyperlink" Target="https://www.grants.gov/search-results-detail/363926" TargetMode="External" Id="rId83"/><Relationship Type="http://schemas.openxmlformats.org/officeDocument/2006/relationships/hyperlink" Target="https://www.grants.gov/search-results-detail/364065" TargetMode="External" Id="rId84"/><Relationship Type="http://schemas.openxmlformats.org/officeDocument/2006/relationships/hyperlink" Target="https://www.grants.gov/search-results-detail/362025" TargetMode="External" Id="rId85"/><Relationship Type="http://schemas.openxmlformats.org/officeDocument/2006/relationships/hyperlink" Target="https://www.grants.gov/search-results-detail/359655" TargetMode="External" Id="rId86"/><Relationship Type="http://schemas.openxmlformats.org/officeDocument/2006/relationships/hyperlink" Target="https://www.grants.gov/search-results-detail/359653" TargetMode="External" Id="rId87"/><Relationship Type="http://schemas.openxmlformats.org/officeDocument/2006/relationships/hyperlink" Target="https://www.grants.gov/search-results-detail/362948" TargetMode="External" Id="rId88"/><Relationship Type="http://schemas.openxmlformats.org/officeDocument/2006/relationships/hyperlink" Target="https://www.grants.gov/search-results-detail/363976" TargetMode="External" Id="rId89"/><Relationship Type="http://schemas.openxmlformats.org/officeDocument/2006/relationships/hyperlink" Target="https://www.grants.gov/search-results-detail/363557" TargetMode="External" Id="rId90"/><Relationship Type="http://schemas.openxmlformats.org/officeDocument/2006/relationships/hyperlink" Target="https://www.grants.gov/search-results-detail/363873" TargetMode="External" Id="rId91"/><Relationship Type="http://schemas.openxmlformats.org/officeDocument/2006/relationships/hyperlink" Target="https://www.grants.gov/search-results-detail/362098" TargetMode="External" Id="rId92"/><Relationship Type="http://schemas.openxmlformats.org/officeDocument/2006/relationships/hyperlink" Target="https://www.grants.gov/search-results-detail/357424" TargetMode="External" Id="rId93"/><Relationship Type="http://schemas.openxmlformats.org/officeDocument/2006/relationships/hyperlink" Target="https://www.grants.gov/search-results-detail/363835" TargetMode="External" Id="rId94"/><Relationship Type="http://schemas.openxmlformats.org/officeDocument/2006/relationships/hyperlink" Target="https://www.grants.gov/search-results-detail/357529" TargetMode="External" Id="rId95"/><Relationship Type="http://schemas.openxmlformats.org/officeDocument/2006/relationships/hyperlink" Target="https://www.grants.gov/search-results-detail/359068" TargetMode="External" Id="rId96"/><Relationship Type="http://schemas.openxmlformats.org/officeDocument/2006/relationships/hyperlink" Target="https://www.grants.gov/search-results-detail/357000" TargetMode="External" Id="rId97"/><Relationship Type="http://schemas.openxmlformats.org/officeDocument/2006/relationships/hyperlink" Target="https://www.grants.gov/search-results-detail/357730" TargetMode="External" Id="rId98"/><Relationship Type="http://schemas.openxmlformats.org/officeDocument/2006/relationships/hyperlink" Target="https://www.grants.gov/search-results-detail/357004" TargetMode="External" Id="rId99"/><Relationship Type="http://schemas.openxmlformats.org/officeDocument/2006/relationships/hyperlink" Target="https://www.grants.gov/search-results-detail/357206" TargetMode="External" Id="rId100"/><Relationship Type="http://schemas.openxmlformats.org/officeDocument/2006/relationships/hyperlink" Target="https://www.grants.gov/search-results-detail/356236" TargetMode="External" Id="rId101"/><Relationship Type="http://schemas.openxmlformats.org/officeDocument/2006/relationships/hyperlink" Target="https://www.grants.gov/search-results-detail/356924" TargetMode="External" Id="rId102"/><Relationship Type="http://schemas.openxmlformats.org/officeDocument/2006/relationships/hyperlink" Target="https://www.grants.gov/search-results-detail/356909" TargetMode="External" Id="rId103"/><Relationship Type="http://schemas.openxmlformats.org/officeDocument/2006/relationships/hyperlink" Target="https://www.grants.gov/search-results-detail/357308" TargetMode="External" Id="rId104"/><Relationship Type="http://schemas.openxmlformats.org/officeDocument/2006/relationships/hyperlink" Target="https://www.grants.gov/search-results-detail/357309" TargetMode="External" Id="rId105"/><Relationship Type="http://schemas.openxmlformats.org/officeDocument/2006/relationships/hyperlink" Target="https://www.grants.gov/search-results-detail/363838" TargetMode="External" Id="rId106"/><Relationship Type="http://schemas.openxmlformats.org/officeDocument/2006/relationships/hyperlink" Target="https://www.grants.gov/search-results-detail/363841" TargetMode="External" Id="rId107"/><Relationship Type="http://schemas.openxmlformats.org/officeDocument/2006/relationships/hyperlink" Target="https://www.grants.gov/search-results-detail/347858" TargetMode="External" Id="rId108"/><Relationship Type="http://schemas.openxmlformats.org/officeDocument/2006/relationships/hyperlink" Target="https://www.grants.gov/search-results-detail/357943" TargetMode="External" Id="rId109"/><Relationship Type="http://schemas.openxmlformats.org/officeDocument/2006/relationships/hyperlink" Target="https://www.grants.gov/search-results-detail/360909" TargetMode="External" Id="rId110"/><Relationship Type="http://schemas.openxmlformats.org/officeDocument/2006/relationships/hyperlink" Target="https://www.grants.gov/search-results-detail/359940" TargetMode="External" Id="rId111"/><Relationship Type="http://schemas.openxmlformats.org/officeDocument/2006/relationships/hyperlink" Target="https://www.grants.gov/search-results-detail/352845" TargetMode="External" Id="rId112"/><Relationship Type="http://schemas.openxmlformats.org/officeDocument/2006/relationships/hyperlink" Target="https://www.grants.gov/search-results-detail/360404" TargetMode="External" Id="rId113"/><Relationship Type="http://schemas.openxmlformats.org/officeDocument/2006/relationships/hyperlink" Target="https://www.grants.gov/search-results-detail/360160" TargetMode="External" Id="rId114"/><Relationship Type="http://schemas.openxmlformats.org/officeDocument/2006/relationships/hyperlink" Target="https://ec.europa.eu/info/funding-tenders/opportunities/portal/screen/opportunities/topic-details/HORIZON-BRIDGING-2027-02-05" TargetMode="External" Id="rId115"/><Relationship Type="http://schemas.openxmlformats.org/officeDocument/2006/relationships/hyperlink" Target="https://ec.europa.eu/info/funding-tenders/opportunities/portal/screen/opportunities/topic-details/HORIZON-BRIDGING-2027-01-13" TargetMode="External" Id="rId116"/><Relationship Type="http://schemas.openxmlformats.org/officeDocument/2006/relationships/hyperlink" Target="https://ec.europa.eu/info/funding-tenders/opportunities/portal/screen/opportunities/topic-details/HORIZON-HLTH-2027-01-DISEASE-10" TargetMode="External" Id="rId117"/><Relationship Type="http://schemas.openxmlformats.org/officeDocument/2006/relationships/hyperlink" Target="https://ec.europa.eu/info/funding-tenders/opportunities/portal/screen/opportunities/topic-details/HORIZON-HLTH-2027-01-STAYHLTH-01" TargetMode="External" Id="rId118"/><Relationship Type="http://schemas.openxmlformats.org/officeDocument/2006/relationships/hyperlink" Target="https://ec.europa.eu/info/funding-tenders/opportunities/portal/screen/opportunities/topic-details/HORIZON-HLTH-2027-02-DISEASE-14-two-stage" TargetMode="External" Id="rId119"/><Relationship Type="http://schemas.openxmlformats.org/officeDocument/2006/relationships/hyperlink" Target="https://ec.europa.eu/info/funding-tenders/opportunities/portal/screen/opportunities/topic-details/HORIZON-HLTH-2027-01-DISEASE-07" TargetMode="External" Id="rId120"/><Relationship Type="http://schemas.openxmlformats.org/officeDocument/2006/relationships/hyperlink" Target="https://ec.europa.eu/info/funding-tenders/opportunities/portal/screen/opportunities/topic-details/HORIZON-HLTH-2027-01-CARE-02" TargetMode="External" Id="rId121"/><Relationship Type="http://schemas.openxmlformats.org/officeDocument/2006/relationships/hyperlink" Target="https://ec.europa.eu/info/funding-tenders/opportunities/portal/screen/opportunities/topic-details/HORIZON-HLTH-2027-01-DISEASE-05" TargetMode="External" Id="rId122"/><Relationship Type="http://schemas.openxmlformats.org/officeDocument/2006/relationships/hyperlink" Target="https://ec.europa.eu/info/funding-tenders/opportunities/portal/screen/opportunities/topic-details/HORIZON-HLTH-2027-01-DISEASE-06" TargetMode="External" Id="rId123"/><Relationship Type="http://schemas.openxmlformats.org/officeDocument/2006/relationships/hyperlink" Target="https://ec.europa.eu/info/funding-tenders/opportunities/portal/screen/opportunities/topic-details/HORIZON-HLTH-2027-01-DISEASE-08" TargetMode="External" Id="rId124"/><Relationship Type="http://schemas.openxmlformats.org/officeDocument/2006/relationships/hyperlink" Target="https://ec.europa.eu/info/funding-tenders/opportunities/portal/screen/opportunities/topic-details/HORIZON-HLTH-2027-02-DISEASE-01-two-stage" TargetMode="External" Id="rId125"/><Relationship Type="http://schemas.openxmlformats.org/officeDocument/2006/relationships/hyperlink" Target="https://ec.europa.eu/info/funding-tenders/opportunities/portal/screen/opportunities/topic-details/HORIZON-CL4-2027-04-DIGITAL-EMERGING-04" TargetMode="External" Id="rId126"/><Relationship Type="http://schemas.openxmlformats.org/officeDocument/2006/relationships/hyperlink" Target="https://ec.europa.eu/info/funding-tenders/opportunities/portal/screen/opportunities/topic-details/HORIZON-CL4-2027-04-HUMAN-01" TargetMode="External" Id="rId127"/><Relationship Type="http://schemas.openxmlformats.org/officeDocument/2006/relationships/hyperlink" Target="https://ec.europa.eu/info/funding-tenders/opportunities/portal/screen/opportunities/topic-details/HORIZON-CL6-2027-02-CLIMATE-01-two-stage" TargetMode="External" Id="rId128"/><Relationship Type="http://schemas.openxmlformats.org/officeDocument/2006/relationships/hyperlink" Target="https://ec.europa.eu/info/funding-tenders/opportunities/portal/screen/opportunities/topic-details/HORIZON-MISS-2027-05-SOIL-05-two-stage" TargetMode="External" Id="rId129"/><Relationship Type="http://schemas.openxmlformats.org/officeDocument/2006/relationships/hyperlink" Target="https://ec.europa.eu/info/funding-tenders/opportunities/portal/screen/opportunities/topic-details/HORIZON-MISS-2027-05-SOIL-04-two-stage" TargetMode="External" Id="rId130"/><Relationship Type="http://schemas.openxmlformats.org/officeDocument/2006/relationships/hyperlink" Target="https://ec.europa.eu/info/funding-tenders/opportunities/portal/screen/opportunities/topic-details/HORIZON-MISS-2027-05-SOIL-03-two-stage" TargetMode="External" Id="rId131"/><Relationship Type="http://schemas.openxmlformats.org/officeDocument/2006/relationships/hyperlink" Target="https://ec.europa.eu/info/funding-tenders/opportunities/portal/screen/opportunities/topic-details/HORIZON-MISS-2027-05-SOIL-01-two-stage" TargetMode="External" Id="rId132"/><Relationship Type="http://schemas.openxmlformats.org/officeDocument/2006/relationships/hyperlink" Target="https://ec.europa.eu/info/funding-tenders/opportunities/portal/screen/opportunities/topic-details/HORIZON-MISS-2027-05-SOIL-02-two-stage" TargetMode="External" Id="rId133"/><Relationship Type="http://schemas.openxmlformats.org/officeDocument/2006/relationships/hyperlink" Target="https://ec.europa.eu/info/funding-tenders/opportunities/portal/screen/opportunities/topic-details/HORIZON-MISS-2027-05-SOIL-06-two-stage" TargetMode="External" Id="rId134"/><Relationship Type="http://schemas.openxmlformats.org/officeDocument/2006/relationships/hyperlink" Target="https://ec.europa.eu/info/funding-tenders/opportunities/portal/screen/opportunities/topic-details/HORIZON-CL2-2027-02-DEMOCRACY-09-two-stage" TargetMode="External" Id="rId135"/><Relationship Type="http://schemas.openxmlformats.org/officeDocument/2006/relationships/hyperlink" Target="https://ec.europa.eu/info/funding-tenders/opportunities/portal/screen/opportunities/topic-details/HORIZON-CL6-2027-03-GOVERNANCE-04" TargetMode="External" Id="rId136"/><Relationship Type="http://schemas.openxmlformats.org/officeDocument/2006/relationships/hyperlink" Target="https://ec.europa.eu/info/funding-tenders/opportunities/portal/screen/opportunities/topic-details/HORIZON-CL5-2027-05-D2-08" TargetMode="External" Id="rId137"/><Relationship Type="http://schemas.openxmlformats.org/officeDocument/2006/relationships/hyperlink" Target="https://ec.europa.eu/info/funding-tenders/opportunities/portal/screen/opportunities/topic-details/HORIZON-MISS-2027-02-CANCER-04" TargetMode="External" Id="rId138"/><Relationship Type="http://schemas.openxmlformats.org/officeDocument/2006/relationships/hyperlink" Target="https://ec.europa.eu/info/funding-tenders/opportunities/portal/screen/opportunities/topic-details/HORIZON-MISS-2027-02-CANCER-06" TargetMode="External" Id="rId139"/><Relationship Type="http://schemas.openxmlformats.org/officeDocument/2006/relationships/hyperlink" Target="https://ec.europa.eu/info/funding-tenders/opportunities/portal/screen/opportunities/topic-details/HORIZON-CL6-2027-01-BIODIV-04" TargetMode="External" Id="rId140"/><Relationship Type="http://schemas.openxmlformats.org/officeDocument/2006/relationships/hyperlink" Target="https://ec.europa.eu/info/funding-tenders/opportunities/portal/screen/opportunities/topic-details/HORIZON-CL6-2027-01-BIODIV-03" TargetMode="External" Id="rId141"/><Relationship Type="http://schemas.openxmlformats.org/officeDocument/2006/relationships/hyperlink" Target="https://ec.europa.eu/info/funding-tenders/opportunities/portal/screen/opportunities/topic-details/HORIZON-CL6-2027-01-CIRCBIO-04" TargetMode="External" Id="rId142"/><Relationship Type="http://schemas.openxmlformats.org/officeDocument/2006/relationships/hyperlink" Target="https://ec.europa.eu/info/funding-tenders/opportunities/portal/screen/opportunities/topic-details/HORIZON-CL6-2027-01-ZEROPOLLUTION-02" TargetMode="External" Id="rId143"/><Relationship Type="http://schemas.openxmlformats.org/officeDocument/2006/relationships/hyperlink" Target="https://ec.europa.eu/info/funding-tenders/opportunities/portal/screen/opportunities/topic-details/HORIZON-CL2-2027-01-HERITAGE-06" TargetMode="External" Id="rId144"/><Relationship Type="http://schemas.openxmlformats.org/officeDocument/2006/relationships/hyperlink" Target="https://ec.europa.eu/info/funding-tenders/opportunities/portal/screen/opportunities/topic-details/HORIZON-CL2-2027-01-HERITAGE-05" TargetMode="External" Id="rId145"/><Relationship Type="http://schemas.openxmlformats.org/officeDocument/2006/relationships/hyperlink" Target="https://ec.europa.eu/info/funding-tenders/opportunities/portal/screen/opportunities/topic-details/HORIZON-CL2-2027-01-HERITAGE-03" TargetMode="External" Id="rId146"/><Relationship Type="http://schemas.openxmlformats.org/officeDocument/2006/relationships/hyperlink" Target="https://ec.europa.eu/info/funding-tenders/opportunities/portal/screen/opportunities/topic-details/HORIZON-CL6-2027-02-FARM2FORK-01" TargetMode="External" Id="rId147"/><Relationship Type="http://schemas.openxmlformats.org/officeDocument/2006/relationships/hyperlink" Target="https://ec.europa.eu/info/funding-tenders/opportunities/portal/screen/opportunities/topic-details/HORIZON-CL6-2027-02-COMMUNITIES-02" TargetMode="External" Id="rId148"/><Relationship Type="http://schemas.openxmlformats.org/officeDocument/2006/relationships/hyperlink" Target="https://ec.europa.eu/info/funding-tenders/opportunities/portal/screen/opportunities/topic-details/HORIZON-CL2-2027-01-TRANSFO-08" TargetMode="External" Id="rId149"/><Relationship Type="http://schemas.openxmlformats.org/officeDocument/2006/relationships/hyperlink" Target="https://ec.europa.eu/info/funding-tenders/opportunities/portal/screen/opportunities/topic-details/HORIZON-CL2-2027-01-DEMOCRACY-02" TargetMode="External" Id="rId150"/><Relationship Type="http://schemas.openxmlformats.org/officeDocument/2006/relationships/hyperlink" Target="https://ec.europa.eu/info/funding-tenders/opportunities/portal/screen/opportunities/topic-details/HORIZON-CL2-2027-01-TRANSFO-05" TargetMode="External" Id="rId151"/><Relationship Type="http://schemas.openxmlformats.org/officeDocument/2006/relationships/hyperlink" Target="https://ec.europa.eu/info/funding-tenders/opportunities/portal/screen/opportunities/topic-details/HORIZON-CL2-2027-01-TRANSFO-07" TargetMode="External" Id="rId152"/><Relationship Type="http://schemas.openxmlformats.org/officeDocument/2006/relationships/hyperlink" Target="https://ec.europa.eu/info/funding-tenders/opportunities/portal/screen/opportunities/topic-details/HORIZON-CL2-2027-01-DEMOCRACY-04" TargetMode="External" Id="rId153"/><Relationship Type="http://schemas.openxmlformats.org/officeDocument/2006/relationships/hyperlink" Target="https://ec.europa.eu/info/funding-tenders/opportunities/portal/screen/opportunities/topic-details/HORIZON-CL2-2027-01-TRANSFO-02" TargetMode="External" Id="rId154"/><Relationship Type="http://schemas.openxmlformats.org/officeDocument/2006/relationships/hyperlink" Target="https://ec.europa.eu/info/funding-tenders/opportunities/portal/screen/opportunities/topic-details/HORIZON-CL2-2027-01-HERITAGE-07" TargetMode="External" Id="rId155"/><Relationship Type="http://schemas.openxmlformats.org/officeDocument/2006/relationships/hyperlink" Target="https://ec.europa.eu/info/funding-tenders/opportunities/portal/screen/opportunities/topic-details/HORIZON-CL2-2027-01-DEMOCRACY-08" TargetMode="External" Id="rId156"/><Relationship Type="http://schemas.openxmlformats.org/officeDocument/2006/relationships/hyperlink" Target="https://ec.europa.eu/info/funding-tenders/opportunities/portal/screen/opportunities/topic-details/HORIZON-MISS-2027-04-CIT-03" TargetMode="External" Id="rId157"/><Relationship Type="http://schemas.openxmlformats.org/officeDocument/2006/relationships/hyperlink" Target="https://ec.europa.eu/info/funding-tenders/opportunities/portal/screen/opportunities/topic-details/HORIZON-CL3-2027-01-INFRA-01" TargetMode="External" Id="rId158"/><Relationship Type="http://schemas.openxmlformats.org/officeDocument/2006/relationships/hyperlink" Target="https://ec.europa.eu/info/funding-tenders/opportunities/portal/screen/opportunities/topic-details/HORIZON-CL3-2027-01-DRS-02" TargetMode="External" Id="rId159"/><Relationship Type="http://schemas.openxmlformats.org/officeDocument/2006/relationships/hyperlink" Target="https://ec.europa.eu/info/funding-tenders/opportunities/portal/screen/opportunities/topic-details/HORIZON-CL3-2027-01-FCT-02" TargetMode="External" Id="rId160"/><Relationship Type="http://schemas.openxmlformats.org/officeDocument/2006/relationships/hyperlink" Target="https://ec.europa.eu/info/funding-tenders/opportunities/portal/screen/opportunities/topic-details/HORIZON-CL3-2027-01-BM-01" TargetMode="External" Id="rId161"/><Relationship Type="http://schemas.openxmlformats.org/officeDocument/2006/relationships/hyperlink" Target="https://ec.europa.eu/info/funding-tenders/opportunities/portal/screen/opportunities/topic-details/HORIZON-NEB-2027-01-PARTICIPATION-02" TargetMode="External" Id="rId162"/><Relationship Type="http://schemas.openxmlformats.org/officeDocument/2006/relationships/hyperlink" Target="https://www.grants.gov/search-results-detail/356054" TargetMode="External" Id="rId163"/><Relationship Type="http://schemas.openxmlformats.org/officeDocument/2006/relationships/hyperlink" Target="https://www.grants.gov/search-results-detail/356046" TargetMode="External" Id="rId164"/><Relationship Type="http://schemas.openxmlformats.org/officeDocument/2006/relationships/hyperlink" Target="https://www.grants.gov/search-results-detail/351413" TargetMode="External" Id="rId165"/><Relationship Type="http://schemas.openxmlformats.org/officeDocument/2006/relationships/hyperlink" Target="https://www.grants.gov/search-results-detail/356051" TargetMode="External" Id="rId166"/><Relationship Type="http://schemas.openxmlformats.org/officeDocument/2006/relationships/hyperlink" Target="https://www.grants.gov/search-results-detail/355646" TargetMode="External" Id="rId167"/><Relationship Type="http://schemas.openxmlformats.org/officeDocument/2006/relationships/hyperlink" Target="https://www.grants.gov/search-results-detail/362062" TargetMode="External" Id="rId168"/><Relationship Type="http://schemas.openxmlformats.org/officeDocument/2006/relationships/hyperlink" Target="https://www.grants.gov/search-results-detail/336244" TargetMode="External" Id="rId169"/><Relationship Type="http://schemas.openxmlformats.org/officeDocument/2006/relationships/hyperlink" Target="https://www.grants.gov/search-results-detail/308873" TargetMode="External" Id="rId170"/><Relationship Type="http://schemas.openxmlformats.org/officeDocument/2006/relationships/hyperlink" Target="https://www.fondazionecariplo.it/wp-content/uploads/2026/01/sap_bandowelfareinageing_28genn251-1.pdf" TargetMode="External" Id="rId171"/><Relationship Type="http://schemas.openxmlformats.org/officeDocument/2006/relationships/hyperlink" Target="https://www.fondazionecrt.it/en/calls-projects/legami-in-comune/" TargetMode="External" Id="rId172"/><Relationship Type="http://schemas.openxmlformats.org/officeDocument/2006/relationships/hyperlink" Target="https://www.fondazionecrt.it/fondazione-crt-un-autunno-di-opportunita-per-i-piccoli-comuni-del-piemonte-e-della-valle-daosta/" TargetMode="External" Id="rId173"/><Relationship Type="http://schemas.openxmlformats.org/officeDocument/2006/relationships/hyperlink" Target="https://fondazionecrfirenze.it/wp-content/uploads/2026/05/EST-8_esiti-bando.pdf" TargetMode="External" Id="rId174"/><Relationship Type="http://schemas.openxmlformats.org/officeDocument/2006/relationships/hyperlink" Target="https://fondazionecariparo.it/2026/09/22/giovani-protagonisti-da-fondazione-cariparo-nuove-opportunita-per-scuole-comunita-e-territori/" TargetMode="External" Id="rId175"/><Relationship Type="http://schemas.openxmlformats.org/officeDocument/2006/relationships/hyperlink" Target="https://fondazionecariparo.it/iniziative/bando-autonomiapiu-3/" TargetMode="External" Id="rId176"/><Relationship Type="http://schemas.openxmlformats.org/officeDocument/2006/relationships/hyperlink" Target="https://www.parkinsons.org.uk/community" TargetMode="External" Id="rId177"/><Relationship Type="http://schemas.openxmlformats.org/officeDocument/2006/relationships/hyperlink" Target="https://www.parkinsons.org.uk/research/researchers" TargetMode="External" Id="rId178"/><Relationship Type="http://schemas.openxmlformats.org/officeDocument/2006/relationships/hyperlink" Target="https://www.parkinsons.org.uk/news/2026/were-investing-over-ps280000-to-accelerate-development-new-parkinsons-drugs" TargetMode="External" Id="rId179"/><Relationship Type="http://schemas.openxmlformats.org/officeDocument/2006/relationships/hyperlink" Target="https://www.parkinsons.org.uk/community/awards" TargetMode="External" Id="rId180"/><Relationship Type="http://schemas.openxmlformats.org/officeDocument/2006/relationships/hyperlink" Target="https://www.parkinsons.org.uk/research/funding-grants/support-your-research-meetings" TargetMode="External" Id="rId181"/><Relationship Type="http://schemas.openxmlformats.org/officeDocument/2006/relationships/hyperlink" Target="https://www.parkinsons.org.uk/research/funding-grants/policies" TargetMode="External" Id="rId182"/><Relationship Type="http://schemas.openxmlformats.org/officeDocument/2006/relationships/hyperlink" Target="https://www.alzheimers.org.uk/research/our-research/what-research-alzheimers-society-funding" TargetMode="External" Id="rId183"/><Relationship Type="http://schemas.openxmlformats.org/officeDocument/2006/relationships/hyperlink" Target="https://www.alzheimers.org.uk/research/researchers/our-funding-schemes/our-dementia-research-leaders-programme" TargetMode="External" Id="rId184"/><Relationship Type="http://schemas.openxmlformats.org/officeDocument/2006/relationships/hyperlink" Target="https://www.alzheimers.org.uk/research/researchers/our-funding-schemes/Dementia-Network-Plus" TargetMode="External" Id="rId185"/><Relationship Type="http://schemas.openxmlformats.org/officeDocument/2006/relationships/hyperlink" Target="https://www.alzheimers.org.uk/research/researchers/grants/marie-curie-research-grants-scheme" TargetMode="External" Id="rId186"/><Relationship Type="http://schemas.openxmlformats.org/officeDocument/2006/relationships/hyperlink" Target="https://www.alzheimers.org.uk/research/researchers/our-funding-schemes/GBHI" TargetMode="External" Id="rId187"/><Relationship Type="http://schemas.openxmlformats.org/officeDocument/2006/relationships/hyperlink" Target="https://vivensafoundation.org.uk/wp-content/uploads/2026/09/26-09-Vivensa-Foundation-Excellence-Awards_guidelines-1.pdf" TargetMode="External" Id="rId188"/><Relationship Type="http://schemas.openxmlformats.org/officeDocument/2006/relationships/hyperlink" Target="https://vivensafoundation.org.uk/wp-content/uploads/2025/09/25-09-Vivensa-Foundation-Excellence-Awards_guidelines-FINAL.pdf" TargetMode="External" Id="rId189"/><Relationship Type="http://schemas.openxmlformats.org/officeDocument/2006/relationships/hyperlink" Target="https://vivensafoundation.org.uk/wp-content/uploads/2026/09/Excellence-Awards_Rising-Star_self-nomination_template-form.pdf" TargetMode="External" Id="rId190"/><Relationship Type="http://schemas.openxmlformats.org/officeDocument/2006/relationships/hyperlink" Target="https://vivensafoundation.org.uk/wp-content/uploads/2026/09/Excellence-Awards_Senior-Leader_self-nomination_template-form.pdf" TargetMode="External" Id="rId191"/><Relationship Type="http://schemas.openxmlformats.org/officeDocument/2006/relationships/hyperlink" Target="https://vivensafoundation.org.uk/wp-content/uploads/2026/09/Excellence-Awards_Team_self-nomination_template-form.pdf" TargetMode="External" Id="rId192"/><Relationship Type="http://schemas.openxmlformats.org/officeDocument/2006/relationships/hyperlink" Target="https://vivensafoundation.org.uk/wp-content/uploads/2026/09/Excellence-Awards_Rising-Star_third-party-nomination_template-form.pdf" TargetMode="External" Id="rId193"/><Relationship Type="http://schemas.openxmlformats.org/officeDocument/2006/relationships/hyperlink" Target="https://vivensafoundation.org.uk/wp-content/uploads/2026/09/Excellence-Awards_Senior-Leader_third-party-nomination_template-form.pdf" TargetMode="External" Id="rId194"/><Relationship Type="http://schemas.openxmlformats.org/officeDocument/2006/relationships/hyperlink" Target="https://vivensafoundation.org.uk/wp-content/uploads/2026/09/Excellence-Awards_Team_third-party-nomination_template-form.pdf" TargetMode="External" Id="rId195"/><Relationship Type="http://schemas.openxmlformats.org/officeDocument/2006/relationships/hyperlink" Target="https://www.michaeljfox.org/news/celebrating-michael-j-foxs-lasker-award-and-community-behind-it" TargetMode="External" Id="rId196"/><Relationship Type="http://schemas.openxmlformats.org/officeDocument/2006/relationships/hyperlink" Target="https://www.michaeljfox.org/index%2Ephp/news/meet-chatfox-your-ai-assistant-grant-applications-and-grant-management" TargetMode="External" Id="rId197"/><Relationship Type="http://schemas.openxmlformats.org/officeDocument/2006/relationships/hyperlink" Target="https://www.michaeljfox.org/grant/parkinsons-disease-therapeutics-pipeline-program" TargetMode="External" Id="rId198"/><Relationship Type="http://schemas.openxmlformats.org/officeDocument/2006/relationships/hyperlink" Target="https://www.michaeljfox.org/grant/gba1-parkinsons-disease-research-catalyst-program" TargetMode="External" Id="rId199"/><Relationship Type="http://schemas.openxmlformats.org/officeDocument/2006/relationships/hyperlink" Target="https://www.michaeljfox.org/grant/parkinsons-disease-proteoforms-program" TargetMode="External" Id="rId200"/><Relationship Type="http://schemas.openxmlformats.org/officeDocument/2006/relationships/hyperlink" Target="https://www.michaeljfox.org/grant/access-advocate-clinical-research-participation" TargetMode="External" Id="rId201"/><Relationship Type="http://schemas.openxmlformats.org/officeDocument/2006/relationships/hyperlink" Target="https://www.michaeljfox.org/grant/immune-profiling-insights-program" TargetMode="External" Id="rId202"/><Relationship Type="http://schemas.openxmlformats.org/officeDocument/2006/relationships/hyperlink" Target="https://www.michaeljfox.org/grant/targets-therapies-neuroinflammation-target-validation" TargetMode="External" Id="rId203"/><Relationship Type="http://schemas.openxmlformats.org/officeDocument/2006/relationships/hyperlink" Target="https://www.michaeljfox.org/grant/targets-therapies-endolysosomal-target-validation" TargetMode="External" Id="rId204"/><Relationship Type="http://schemas.openxmlformats.org/officeDocument/2006/relationships/hyperlink" Target="https://www.michaeljfox.org/grant/molecular-mri-biomarker-program" TargetMode="External" Id="rId205"/><Relationship Type="http://schemas.openxmlformats.org/officeDocument/2006/relationships/hyperlink" Target="https://www.michaeljfox.org/grant/ppmi-biofluid-biomarkers-program" TargetMode="External" Id="rId206"/><Relationship Type="http://schemas.openxmlformats.org/officeDocument/2006/relationships/hyperlink" Target="https://www.michaeljfox.org/grant/seed-amplification-assay-innovation-program" TargetMode="External" Id="rId207"/><Relationship Type="http://schemas.openxmlformats.org/officeDocument/2006/relationships/hyperlink" Target="https://www.michaeljfox.org/grant/personalized-approaches-understanding-assessing-and-improving-gait-parkinsons-disease" TargetMode="External" Id="rId208"/><Relationship Type="http://schemas.openxmlformats.org/officeDocument/2006/relationships/hyperlink" Target="https://www.michaeljfox.org/grant/biomarker-advancement-programs" TargetMode="External" Id="rId209"/><Relationship Type="http://schemas.openxmlformats.org/officeDocument/2006/relationships/hyperlink" Target="https://www.michaeljfox.org/grant/lrrk2-investigative-therapeutics-exchange-lite" TargetMode="External" Id="rId210"/><Relationship Type="http://schemas.openxmlformats.org/officeDocument/2006/relationships/hyperlink" Target="https://www.michaeljfox.org/grant/targets-therapies-initiative" TargetMode="External" Id="rId211"/><Relationship Type="http://schemas.openxmlformats.org/officeDocument/2006/relationships/hyperlink" Target="https://grants.michaeljfox.org/s_Login.jsp" TargetMode="External" Id="rId212"/><Relationship Type="http://schemas.openxmlformats.org/officeDocument/2006/relationships/hyperlink" Target="https://www.michaeljfox.org/news/investing-early-stage-therapies" TargetMode="External" Id="rId213"/><Relationship Type="http://schemas.openxmlformats.org/officeDocument/2006/relationships/hyperlink" Target="https://www.michaeljfox.org/publication/michael-j-fox-receives-laskerbloomberg-public-service-award-transformative-leadership" TargetMode="External" Id="rId214"/><Relationship Type="http://schemas.openxmlformats.org/officeDocument/2006/relationships/hyperlink" Target="https://www.parkinson.org/resources-support/professionals/clinical-training-awards" TargetMode="External" Id="rId215"/><Relationship Type="http://schemas.openxmlformats.org/officeDocument/2006/relationships/hyperlink" Target="https://www.parkinson.org/sites/default/files/documents/Community-Grant-Recipients-0926.pdf" TargetMode="External" Id="rId216"/><Relationship Type="http://schemas.openxmlformats.org/officeDocument/2006/relationships/hyperlink" Target="https://www.parkinson.org/sites/default/files/documents/2025-Community-Grant-Recipients.pdf" TargetMode="External" Id="rId217"/><Relationship Type="http://schemas.openxmlformats.org/officeDocument/2006/relationships/hyperlink" Target="https://www.parkinson.org/sites/default/files/documents/2024-community-grant-recipients_0.pdf" TargetMode="External" Id="rId218"/><Relationship Type="http://schemas.openxmlformats.org/officeDocument/2006/relationships/hyperlink" Target="https://www.parkinson.org/sites/default/files/documents/2021-community-grant-recipients.pdf" TargetMode="External" Id="rId219"/><Relationship Type="http://schemas.openxmlformats.org/officeDocument/2006/relationships/hyperlink" Target="https://www.parkinson.org/sites/default/files/documents/2020-community-grant-recipients.pdf" TargetMode="External" Id="rId220"/><Relationship Type="http://schemas.openxmlformats.org/officeDocument/2006/relationships/hyperlink" Target="https://www.parkinson.org/sites/default/files/documents/2019-community-grant-recipients.pdf" TargetMode="External" Id="rId221"/><Relationship Type="http://schemas.openxmlformats.org/officeDocument/2006/relationships/hyperlink" Target="https://www.parkinson.org/blog/research/advocates-funding" TargetMode="External" Id="rId222"/><Relationship Type="http://schemas.openxmlformats.org/officeDocument/2006/relationships/hyperlink" Target="https://www.alz.org/getmedia/0fc92b36-c95c-497a-a24e-3f3b3674f75a/2024-portfolio_Final-docx.pdf" TargetMode="External" Id="rId223"/><Relationship Type="http://schemas.openxmlformats.org/officeDocument/2006/relationships/hyperlink" Target="https://www.alz.org/getmedia/c0233796-0c95-4ee9-a272-5d6db41970cb/2023portfolio_V1-docx.pdf" TargetMode="External" Id="rId224"/><Relationship Type="http://schemas.openxmlformats.org/officeDocument/2006/relationships/hyperlink" Target="https://www.alz.org/getmedia/a7d08ef3-15fb-4bf0-a465-dcb3c43b0223/2022portfolio_Final-docx.pdf" TargetMode="External" Id="rId225"/><Relationship Type="http://schemas.openxmlformats.org/officeDocument/2006/relationships/hyperlink" Target="https://www.alz.org/getmedia/4a2ead02-e69b-4aed-a323-f8e3f32749ba/2021-portfolio.pdf" TargetMode="External" Id="rId226"/><Relationship Type="http://schemas.openxmlformats.org/officeDocument/2006/relationships/hyperlink" Target="https://www.alz.org/getmedia/e0f92cc9-1b1a-4c40-a936-fc9c8bceeedd/grant-awards-strategic-research-portfolio-profile-2020-pdf-1.pdf" TargetMode="External" Id="rId227"/><Relationship Type="http://schemas.openxmlformats.org/officeDocument/2006/relationships/hyperlink" Target="https://www.alz.org/getmedia/16673fa1-39b6-45dc-a504-e3a1b2dd6778/research-grants-by-country-state-2020.pdf" TargetMode="External" Id="rId228"/><Relationship Type="http://schemas.openxmlformats.org/officeDocument/2006/relationships/hyperlink" Target="https://www.alz.org/getmedia/95dd8f49-54c7-4538-8958-49c5bd28c762/grants-by-research-categories-2020.pdf" TargetMode="External" Id="rId229"/><Relationship Type="http://schemas.openxmlformats.org/officeDocument/2006/relationships/hyperlink" Target="https://www.alz.org/getmedia/ca9c93d0-5ba4-44c0-829c-5fd24c010f85/research-grants-portfolio-profile-2019.pdf" TargetMode="External" Id="rId230"/><Relationship Type="http://schemas.openxmlformats.org/officeDocument/2006/relationships/hyperlink" Target="https://www.alz.org/getmedia/8b94d564-5f7d-4dd9-ad15-01e48ae1af0c/Alzheimer-sAssociation_GrantPortfolioAtAGlance_2019.pdf" TargetMode="External" Id="rId231"/><Relationship Type="http://schemas.openxmlformats.org/officeDocument/2006/relationships/hyperlink" Target="https://www.alz.org/getmedia/f218a1f6-ec16-40aa-acfe-5441f7879b98/grants-country-state-2019.pdf" TargetMode="External" Id="rId232"/><Relationship Type="http://schemas.openxmlformats.org/officeDocument/2006/relationships/hyperlink" Target="https://www.alz.org/getmedia/9f1033c4-674d-4476-b49f-0047289c3d81/grants-by-research-categories-2019.pdf" TargetMode="External" Id="rId233"/><Relationship Type="http://schemas.openxmlformats.org/officeDocument/2006/relationships/hyperlink" Target="https://www.alz.org/getmedia/3a385bdf-9254-4bc3-93cb-804408ac565c/research-grants-portfolio-profile-2018.pdf" TargetMode="External" Id="rId234"/><Relationship Type="http://schemas.openxmlformats.org/officeDocument/2006/relationships/hyperlink" Target="https://www.alz.org/getmedia/ff417116-ea77-4c79-80f9-0b06fc253756/grants-country-state-2018-final.pdf" TargetMode="External" Id="rId235"/><Relationship Type="http://schemas.openxmlformats.org/officeDocument/2006/relationships/hyperlink" Target="https://www.alz.org/getmedia/8da8fe3d-aa7f-4c5e-b36c-b959b959712a/grants-by-research-categories-2018%EF%BB%BF.pdf" TargetMode="External" Id="rId236"/><Relationship Type="http://schemas.openxmlformats.org/officeDocument/2006/relationships/hyperlink" Target="https://www.alz.org/getmedia/c27e7222-4554-4e9c-ab58-87ffa9637341/2017-portfolio-profile.pdf" TargetMode="External" Id="rId237"/><Relationship Type="http://schemas.openxmlformats.org/officeDocument/2006/relationships/hyperlink" Target="https://www.alz.org/getmedia/1c1f81aa-c1e3-40c0-8bab-f5b53b99f639/2017-Research-Category.pdf" TargetMode="External" Id="rId238"/><Relationship Type="http://schemas.openxmlformats.org/officeDocument/2006/relationships/hyperlink" Target="https://www.alz.org/getmedia/7c81571e-a389-4491-bc03-2692921bae76/2016-portfolio-profile.pdf" TargetMode="External" Id="rId239"/><Relationship Type="http://schemas.openxmlformats.org/officeDocument/2006/relationships/hyperlink" Target="https://www.alz.org/getmedia/b8ab416a-9ec9-4905-85f8-d1a4d751a44c/2016-Research-Category.pdf" TargetMode="External" Id="rId240"/><Relationship Type="http://schemas.openxmlformats.org/officeDocument/2006/relationships/hyperlink" Target="https://www.alz.org/getmedia/ec1c529a-dd2f-4c53-b296-55bc3bc05410/2015-portfolio-profile.pdf" TargetMode="External" Id="rId241"/><Relationship Type="http://schemas.openxmlformats.org/officeDocument/2006/relationships/hyperlink" Target="https://www.alz.org/getmedia/722a06b3-e955-460e-ad8a-e5ba846d7e51/2015-Research-Category.pdf" TargetMode="External" Id="rId242"/><Relationship Type="http://schemas.openxmlformats.org/officeDocument/2006/relationships/hyperlink" Target="https://www.alz.org/getmedia/00f03001-243a-4cff-b52b-e9433bc2daed/2014-portfolio-profile.pdf" TargetMode="External" Id="rId243"/><Relationship Type="http://schemas.openxmlformats.org/officeDocument/2006/relationships/hyperlink" Target="https://foundation4pt.org/foundation-funding-opportunities/grants/" TargetMode="External" Id="rId244"/><Relationship Type="http://schemas.openxmlformats.org/officeDocument/2006/relationships/hyperlink" Target="https://foundation4pt.org/foundation-funding-opportunities/application-review-process/" TargetMode="External" Id="rId245"/><Relationship Type="http://schemas.openxmlformats.org/officeDocument/2006/relationships/hyperlink" Target="https://foundation4pt.org/stories/2018-fptr-pediatric-grant-recipient-studies-cerebral-palsy-interventions-in-early-infancy/" TargetMode="External" Id="rId246"/><Relationship Type="http://schemas.openxmlformats.org/officeDocument/2006/relationships/hyperlink" Target="https://foundation4pt.org/2026-service-award-recipients/" TargetMode="External" Id="rId247"/><Relationship Type="http://schemas.openxmlformats.org/officeDocument/2006/relationships/hyperlink" Target="https://foundation4pt.org/funding-database/comparative-effectiveness-of-telehealth-vs-in-person-delivery-of-the-supporting-play-exploration-and-early-development-intervention-in-underserved-urban-and-rural-populations/" TargetMode="External" Id="rId248"/><Relationship Type="http://schemas.openxmlformats.org/officeDocument/2006/relationships/hyperlink" Target="https://foundation4pt.org/funding-database/brain-heart-behavior-connections-understanding-associations-between-parent-infant-relationships-infant-neurodevelopment-and-parent-neurophysiology/" TargetMode="External" Id="rId249"/><Relationship Type="http://schemas.openxmlformats.org/officeDocument/2006/relationships/hyperlink" Target="https://foundation4pt.org/funding-database/supraspinatus-muscle-response-to-exercise-in-individuals-with-rotator-cuff-tears-who-failed-physical-therapy/" TargetMode="External" Id="rId250"/><Relationship Type="http://schemas.openxmlformats.org/officeDocument/2006/relationships/hyperlink" Target="https://foundation4pt.org/funding-database/defining-and-evaluating-the-integrated-practice-unit-as-a-model-for-acute-care-physical-therapy-delivery/" TargetMode="External" Id="rId251"/><Relationship Type="http://schemas.openxmlformats.org/officeDocument/2006/relationships/hyperlink" Target="https://foundation4pt.org/funding-database/intensive-physical-therapy-for-young-children-with-ventricular-assist-devices-prior-to-heart-transplant/" TargetMode="External" Id="rId252"/><Relationship Type="http://schemas.openxmlformats.org/officeDocument/2006/relationships/hyperlink" Target="https://foundation4pt.org/funding-database/respiratory-neural-drive-in-down-syndrome/" TargetMode="External" Id="rId253"/><Relationship Type="http://schemas.openxmlformats.org/officeDocument/2006/relationships/hyperlink" Target="https://foundation4pt.org/funding-database/cost-effectiveness-of-telerehabilitation-for-individuals-with-temporomandibular-disorders/" TargetMode="External" Id="rId254"/><Relationship Type="http://schemas.openxmlformats.org/officeDocument/2006/relationships/hyperlink" Target="https://foundation4pt.org/funding-database/rehabilitation-based-approaches-to-prevent-mechanical-ventilation-induced-breathing-dysfunction/" TargetMode="External" Id="rId255"/><Relationship Type="http://schemas.openxmlformats.org/officeDocument/2006/relationships/hyperlink" Target="https://foundation4pt.org/funding-database/effects-of-noxious-vs-non-noxious-knee-mobilization-on-cortical-activity-in-chronic-joint-pain/" TargetMode="External" Id="rId256"/><Relationship Type="http://schemas.openxmlformats.org/officeDocument/2006/relationships/hyperlink" Target="https://foundation4pt.org/funding-database/balance-training-with-restricted-vision-implication-for-fall-prevention-in-older-adults-a-pilot-study/" TargetMode="External" Id="rId257"/><Relationship Type="http://schemas.openxmlformats.org/officeDocument/2006/relationships/hyperlink" Target="https://foundation4pt.org/past-foundation-funding-recipients-recognized-by-2025-apta-honors-awards-program-3/" TargetMode="External" Id="rId258"/><Relationship Type="http://schemas.openxmlformats.org/officeDocument/2006/relationships/hyperlink" Target="https://braincanada.ca/funded-grants/understanding-the-impact-of-socioeconomic-inequities-social-support-and-cognitive-resilience-in-alzheimer-s-disease" TargetMode="External" Id="rId259"/><Relationship Type="http://schemas.openxmlformats.org/officeDocument/2006/relationships/hyperlink" Target="https://braincanada.ca/funded-grants/an-inclusive-approach-towards-developing-biomarkers-of-subjective-cognitive-decline-and-progression-to-dementia" TargetMode="External" Id="rId260"/><Relationship Type="http://schemas.openxmlformats.org/officeDocument/2006/relationships/hyperlink" Target="https://braincanada.ca/funded-grants/fuel-for-thoughts-the-effect-of-exercise-and-ketone-supplementation-on-brain-and-muscle-function-in-subjective-cognitive-decline" TargetMode="External" Id="rId261"/><Relationship Type="http://schemas.openxmlformats.org/officeDocument/2006/relationships/hyperlink" Target="https://braincanada.ca/funded-grants/music-based-interventions-to-engage-memory-in-individuals-living-with-dementia" TargetMode="External" Id="rId262"/><Relationship Type="http://schemas.openxmlformats.org/officeDocument/2006/relationships/hyperlink" Target="https://braincanada.ca/funded-grants/als-and-medical-assistance-in-dying" TargetMode="External" Id="rId263"/><Relationship Type="http://schemas.openxmlformats.org/officeDocument/2006/relationships/hyperlink" Target="https://braincanada.ca/funded-grants/telomerase-reverse-transcriptase-as-a-neuroprotective-factor-in-progressive-multiple-sclerosis" TargetMode="External" Id="rId264"/><Relationship Type="http://schemas.openxmlformats.org/officeDocument/2006/relationships/hyperlink" Target="https://braincanada.ca/funded-grants/la-douleur-chronique-un-cha&#238;non-manquant-dans-la-pr&#233;diction-du-risque-c&#233;r&#233;brovasculaire" TargetMode="External" Id="rId265"/><Relationship Type="http://schemas.openxmlformats.org/officeDocument/2006/relationships/hyperlink" Target="https://braincanada.ca/funded-grants/counteracting-refractory-alcohol-use-disorder-via-electrostimulation-crave-deep-brain-stimulation-for-treatment-refractory-alcohol-use-disorder" TargetMode="External" Id="rId266"/><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E267"/>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22" customWidth="1" min="1" max="1"/>
    <col width="18" customWidth="1" min="2" max="2"/>
    <col width="30" customWidth="1" min="3" max="3"/>
    <col width="24" customWidth="1" min="4" max="4"/>
    <col width="45" customWidth="1" min="5" max="5"/>
    <col width="45" customWidth="1" min="6" max="6"/>
    <col width="22" customWidth="1" min="7" max="7"/>
    <col width="28" customWidth="1" min="8" max="8"/>
    <col width="12" customWidth="1" min="9" max="9"/>
    <col width="40" customWidth="1" min="10" max="10"/>
    <col width="15" customWidth="1" min="11" max="11"/>
    <col width="15" customWidth="1" min="12" max="12"/>
    <col width="8" customWidth="1" min="13" max="13"/>
    <col width="12" customWidth="1" min="14" max="14"/>
    <col width="34" customWidth="1" min="15" max="15"/>
    <col width="30" customWidth="1" min="16" max="16"/>
    <col width="12" customWidth="1" min="17" max="17"/>
    <col width="11" customWidth="1" min="18" max="18"/>
    <col width="12" customWidth="1" min="19" max="19"/>
    <col width="12" customWidth="1" min="20" max="20"/>
    <col width="18" customWidth="1" min="21" max="21"/>
    <col width="30" customWidth="1" min="22" max="22"/>
    <col width="34" customWidth="1" min="23" max="23"/>
    <col width="26" customWidth="1" min="24" max="24"/>
    <col width="10" customWidth="1" min="25" max="25"/>
    <col width="40" customWidth="1" min="26" max="26"/>
    <col width="70" customWidth="1" min="27" max="27"/>
    <col width="18" customWidth="1" min="28" max="28"/>
    <col width="12" customWidth="1" min="29" max="29"/>
    <col width="12" customWidth="1" min="30" max="30"/>
    <col width="30" customWidth="1" min="31" max="31"/>
  </cols>
  <sheetData>
    <row r="1" ht="32" customHeight="1">
      <c r="A1" s="1" t="inlineStr">
        <is>
          <t>ID</t>
        </is>
      </c>
      <c r="B1" s="1" t="inlineStr">
        <is>
          <t>Fonte</t>
        </is>
      </c>
      <c r="C1" s="1" t="inlineStr">
        <is>
          <t>Programma</t>
        </is>
      </c>
      <c r="D1" s="1" t="inlineStr">
        <is>
          <t>Ente finanziatore</t>
        </is>
      </c>
      <c r="E1" s="1" t="inlineStr">
        <is>
          <t>Titolo</t>
        </is>
      </c>
      <c r="F1" s="1" t="inlineStr">
        <is>
          <t>Titolo IT</t>
        </is>
      </c>
      <c r="G1" s="1" t="inlineStr">
        <is>
          <t>Macrogruppo</t>
        </is>
      </c>
      <c r="H1" s="1" t="inlineStr">
        <is>
          <t>Parole chiave</t>
        </is>
      </c>
      <c r="I1" s="1" t="inlineStr">
        <is>
          <t>Rilevanza LLM</t>
        </is>
      </c>
      <c r="J1" s="1" t="inlineStr">
        <is>
          <t>Motivo LLM</t>
        </is>
      </c>
      <c r="K1" s="1" t="inlineStr">
        <is>
          <t>Budget totale</t>
        </is>
      </c>
      <c r="L1" s="1" t="inlineStr">
        <is>
          <t>Budget per progetto</t>
        </is>
      </c>
      <c r="M1" s="1" t="inlineStr">
        <is>
          <t>Valuta</t>
        </is>
      </c>
      <c r="N1" s="1" t="inlineStr">
        <is>
          <t>Progetti finanziabili</t>
        </is>
      </c>
      <c r="O1" s="1" t="inlineStr">
        <is>
          <t>Indicatore competitività</t>
        </is>
      </c>
      <c r="P1" s="1" t="inlineStr">
        <is>
          <t>Copertura finanziaria</t>
        </is>
      </c>
      <c r="Q1" s="1" t="inlineStr">
        <is>
          <t>Scadenza</t>
        </is>
      </c>
      <c r="R1" s="1" t="inlineStr">
        <is>
          <t>Giorni alla scadenza</t>
        </is>
      </c>
      <c r="S1" s="1" t="inlineStr">
        <is>
          <t>Apertura</t>
        </is>
      </c>
      <c r="T1" s="1" t="inlineStr">
        <is>
          <t>Durata progetto</t>
        </is>
      </c>
      <c r="U1" s="1" t="inlineStr">
        <is>
          <t>Tipo di bando</t>
        </is>
      </c>
      <c r="V1" s="1" t="inlineStr">
        <is>
          <t>Chi può candidarsi</t>
        </is>
      </c>
      <c r="W1" s="1" t="inlineStr">
        <is>
          <t>Struttura partenariato</t>
        </is>
      </c>
      <c r="X1" s="1" t="inlineStr">
        <is>
          <t>Paesi ammessi</t>
        </is>
      </c>
      <c r="Y1" s="1" t="inlineStr">
        <is>
          <t>Lingua bando</t>
        </is>
      </c>
      <c r="Z1" s="1" t="inlineStr">
        <is>
          <t>URL</t>
        </is>
      </c>
      <c r="AA1" s="1" t="inlineStr">
        <is>
          <t>Sommario</t>
        </is>
      </c>
      <c r="AB1" s="1" t="inlineStr">
        <is>
          <t>Stato</t>
        </is>
      </c>
      <c r="AC1" s="1" t="inlineStr">
        <is>
          <t>Aggiornato il</t>
        </is>
      </c>
      <c r="AD1" s="1" t="inlineStr">
        <is>
          <t>Prima vista</t>
        </is>
      </c>
      <c r="AE1" s="1" t="inlineStr">
        <is>
          <t>Note</t>
        </is>
      </c>
    </row>
    <row r="2">
      <c r="A2" s="2" t="inlineStr">
        <is>
          <t>GG-USDA-APHIS-10031-PPQ-NCPN-2027</t>
        </is>
      </c>
      <c r="B2" s="2" t="inlineStr">
        <is>
          <t>Grants.gov</t>
        </is>
      </c>
      <c r="C2" s="2" t="inlineStr">
        <is>
          <t>Animal and Plant Health Inspection Service – USDA-APHIS-10031-PPQ-NCPN-2027</t>
        </is>
      </c>
      <c r="D2" s="2" t="inlineStr">
        <is>
          <t>Animal and Plant Health Inspection Service</t>
        </is>
      </c>
      <c r="E2" s="3" t="inlineStr">
        <is>
          <t>Plant Protection Act Section 7721 Fiscal Year 2027 National Clean Plant Network (NCPN)</t>
        </is>
      </c>
      <c r="F2" s="3" t="inlineStr">
        <is>
          <t>Programma NCPN (Clean Plant Network) - Agenzia per la Salute Animale e Vegetale - USDA</t>
        </is>
      </c>
      <c r="G2" s="2" t="inlineStr">
        <is>
          <t>Riabilitazione</t>
        </is>
      </c>
      <c r="H2" s="2" t="inlineStr">
        <is>
          <t>rehabilitat</t>
        </is>
      </c>
      <c r="I2" s="2" t="inlineStr">
        <is>
          <t>Bassa</t>
        </is>
      </c>
      <c r="J2" s="3" t="inlineStr">
        <is>
          <t>Il testo non menziona esplicitamente riabilitazione, ictus, Parkinson, invecchiamento/demenze o tecnologie per la riabilitazione.</t>
        </is>
      </c>
      <c r="K2" s="4" t="n">
        <v>10000000</v>
      </c>
      <c r="L2" s="4" t="n">
        <v>3500000</v>
      </c>
      <c r="M2" s="2" t="inlineStr">
        <is>
          <t>USD</t>
        </is>
      </c>
      <c r="N2" s="2" t="n">
        <v>25</v>
      </c>
      <c r="O2" s="3" t="inlineStr">
        <is>
          <t>Alta – 25 progetti finanziabili (stima: tasso storico non disponibile)</t>
        </is>
      </c>
      <c r="P2" s="3" t="inlineStr">
        <is>
          <t>100% – nessun cost sharing richiesto</t>
        </is>
      </c>
      <c r="Q2" s="5" t="n">
        <v>46314</v>
      </c>
      <c r="R2" s="6">
        <f>IF(Q2="","",Q2-TODAY())</f>
        <v/>
      </c>
      <c r="S2" s="5" t="n">
        <v>46230</v>
      </c>
      <c r="T2" s="2" t="n"/>
      <c r="U2" s="2" t="inlineStr">
        <is>
          <t>Ricerca</t>
        </is>
      </c>
      <c r="V2" s="3" t="inlineStr">
        <is>
          <t>Public and State controlled institutions of higher education; Nonprofits having a 501(c)(3) status with the IRS, other than institutions of higher education; State governments; Private institutions of higher education; Others (see text field entitled "Additional Information on Eligibility" for clarification)</t>
        </is>
      </c>
      <c r="W2" s="3" t="n"/>
      <c r="X2" s="2" t="inlineStr">
        <is>
          <t>Solo enti statunitensi (salvo diversa indicazione)</t>
        </is>
      </c>
      <c r="Y2" s="2" t="inlineStr">
        <is>
          <t>Inglese</t>
        </is>
      </c>
      <c r="Z2" s="7" t="inlineStr">
        <is>
          <t>https://www.grants.gov/search-results-detail/363326</t>
        </is>
      </c>
      <c r="AA2" s="3" t="inlineStr">
        <is>
          <t>Il programma NCPN (Clean Plant Network) dell'USDA, Agenzia per la Salute Animale e Vegetale, offre finanziamento per progetti che supportano la creazione di un'infrastruttura di centri di pulizia vegetale per diagnosticare e eliminare patogeni. I centri forniranno materiali propagativi liberi da patogeni a centri di certificazione e alle aziende agricole. I progetti finanziati dovrebbero rispondere ai principali obiettivi del NCPN, come la migliorizzazione della produzione, la manutenzione e la distribuzione dei materiali propagativi puliti. I progetti che supportano un gruppo di piante attualmente inclusi nel NCPN e che mostrano coordinamento con il corpo governativo appropriato per il gruppo di piante sono prioritizzati.</t>
        </is>
      </c>
      <c r="AB2" s="2" t="inlineStr">
        <is>
          <t>In scadenza (≤30 gg)</t>
        </is>
      </c>
      <c r="AC2" s="5" t="n">
        <v>46312</v>
      </c>
      <c r="AD2" s="5" t="n">
        <v>46312</v>
      </c>
      <c r="AE2" s="2" t="n"/>
    </row>
    <row r="3">
      <c r="A3" s="2" t="inlineStr">
        <is>
          <t>GG-DOT-FAA-26-0117-002</t>
        </is>
      </c>
      <c r="B3" s="2" t="inlineStr">
        <is>
          <t>Grants.gov</t>
        </is>
      </c>
      <c r="C3" s="2" t="inlineStr">
        <is>
          <t>Airport Improvement Program Discretionary Grants – DOT-FAA-26-0117-002</t>
        </is>
      </c>
      <c r="D3" s="2" t="inlineStr">
        <is>
          <t>Airport Improvement Program Discretionary Grants</t>
        </is>
      </c>
      <c r="E3" s="3" t="inlineStr">
        <is>
          <t>FY 2027 Notice of Funding Opportunity: Infrastructure Investment and Jobs Act (IIJA) FAA Contract Tower (FCT) Competitive Grant Program</t>
        </is>
      </c>
      <c r="F3" s="3" t="inlineStr">
        <is>
          <t>Notice di Offerta di Finanziamento: Programma di Grant Competitivo per Torri di Controllo Aerei (FCT) - IIJA 2021</t>
        </is>
      </c>
      <c r="G3" s="2" t="inlineStr">
        <is>
          <t>Riabilitazione</t>
        </is>
      </c>
      <c r="H3" s="2" t="inlineStr">
        <is>
          <t>rehabilitat</t>
        </is>
      </c>
      <c r="I3" s="2" t="inlineStr">
        <is>
          <t>Bassa</t>
        </is>
      </c>
      <c r="J3" s="3" t="inlineStr">
        <is>
          <t>Il testo non specifica esplicitamente riabilitazione, ictus, Parkinson, invecchiamento/demenze o tecnologie per la riabilitazione.</t>
        </is>
      </c>
      <c r="K3" s="4" t="n">
        <v>100000000</v>
      </c>
      <c r="L3" s="4" t="n">
        <v>55000000</v>
      </c>
      <c r="M3" s="2" t="inlineStr">
        <is>
          <t>USD</t>
        </is>
      </c>
      <c r="N3" s="2" t="n">
        <v>1</v>
      </c>
      <c r="O3" s="3" t="inlineStr">
        <is>
          <t>Bassa – 1 progetti finanziabili (stima: tasso storico non disponibile)</t>
        </is>
      </c>
      <c r="P3" s="3" t="inlineStr">
        <is>
          <t>100% – nessun cost sharing richiesto</t>
        </is>
      </c>
      <c r="Q3" s="5" t="n">
        <v>46314</v>
      </c>
      <c r="R3" s="6">
        <f>IF(Q3="","",Q3-TODAY())</f>
        <v/>
      </c>
      <c r="S3" s="5" t="n">
        <v>46289</v>
      </c>
      <c r="T3" s="2" t="n"/>
      <c r="U3" s="2" t="inlineStr">
        <is>
          <t>Infrastruttura</t>
        </is>
      </c>
      <c r="V3" s="3" t="inlineStr">
        <is>
          <t>County governments; Special district governments; City or township governments; Others (see text field entitled "Additional Information on Eligibility" for clarification); State governments</t>
        </is>
      </c>
      <c r="W3" s="3" t="n"/>
      <c r="X3" s="2" t="inlineStr">
        <is>
          <t>Solo enti statunitensi (salvo diversa indicazione)</t>
        </is>
      </c>
      <c r="Y3" s="2" t="inlineStr">
        <is>
          <t>Inglese</t>
        </is>
      </c>
      <c r="Z3" s="7" t="inlineStr">
        <is>
          <t>https://www.grants.gov/search-results-detail/363941</t>
        </is>
      </c>
      <c r="AA3" s="3" t="inlineStr">
        <is>
          <t>Il programma di finanziamento per torri di controllo aerei (FCT) competitivo offre fino a 100 milioni di euro per progetti di torri di controllo aerei (ATCT) degli aeroporti. L'obiettivo è finanziare progetti che migliorano l'infrastruttura degli aeroporti. L'FAA considererà progetti che includono la conservazione, costruzione, riparazione, miglioramento, modernizzazione, sostituzione o ricondizionamento di torri di controllo aerei non di atterraggio; acquisto e installazione di strumenti di controllo aerei, comunicazioni e altri dispositivi per quelle torri; o costruzione di una torre di controllo aerei certificata dall'FAA, inclusa l'acquisto e l'installazione di strumenti di controllo aerei, comunicazioni o altri dispositivi. Il progetto è ammesso a chiunque abbia un aeroporto e abbia progetti di miglioramento dell'infrastruttura aeroportuale.</t>
        </is>
      </c>
      <c r="AB3" s="2" t="inlineStr">
        <is>
          <t>In scadenza (≤30 gg)</t>
        </is>
      </c>
      <c r="AC3" s="5" t="n">
        <v>46312</v>
      </c>
      <c r="AD3" s="5" t="n">
        <v>46312</v>
      </c>
      <c r="AE3" s="2" t="n"/>
    </row>
    <row r="4">
      <c r="A4" s="2" t="inlineStr">
        <is>
          <t>WEB-03a781657bb4</t>
        </is>
      </c>
      <c r="B4" s="2" t="inlineStr">
        <is>
          <t>Brain Canada</t>
        </is>
      </c>
      <c r="C4" s="2" t="inlineStr">
        <is>
          <t>Funding Opportunities</t>
        </is>
      </c>
      <c r="D4" s="2" t="inlineStr">
        <is>
          <t>Brain Canada</t>
        </is>
      </c>
      <c r="E4" s="3" t="inlineStr">
        <is>
          <t>Funding Opportunities</t>
        </is>
      </c>
      <c r="F4" s="3" t="inlineStr">
        <is>
          <t>Fondamenti di appello</t>
        </is>
      </c>
      <c r="G4" s="2" t="inlineStr">
        <is>
          <t>Parkinson, Invecchiamento</t>
        </is>
      </c>
      <c r="H4" s="2" t="inlineStr">
        <is>
          <t>parkinson, dementi, alzheimer, cognitive decline, older persons, geriatr, aging, neurodegenerat, disabilit</t>
        </is>
      </c>
      <c r="I4" s="2" t="inlineStr">
        <is>
          <t>Media</t>
        </is>
      </c>
      <c r="J4" s="3" t="inlineStr">
        <is>
          <t>Il bando non specifica esplicitamente riabilitazione, ictus, Parkinson, invecchiamento/demenze o tecnologie per la riabilitazione</t>
        </is>
      </c>
      <c r="K4" s="4" t="n">
        <v>100000</v>
      </c>
      <c r="L4" s="4" t="n">
        <v>100000</v>
      </c>
      <c r="M4" s="2" t="inlineStr">
        <is>
          <t>USD</t>
        </is>
      </c>
      <c r="N4" s="2" t="n">
        <v>4</v>
      </c>
      <c r="O4" s="3" t="inlineStr">
        <is>
          <t>Bassa – 4 progetti finanziabili (stima: tasso storico non disponibile)</t>
        </is>
      </c>
      <c r="P4" s="3" t="inlineStr">
        <is>
          <t>100%</t>
        </is>
      </c>
      <c r="Q4" s="5" t="n">
        <v>46322</v>
      </c>
      <c r="R4" s="6">
        <f>IF(Q4="","",Q4-TODAY())</f>
        <v/>
      </c>
      <c r="S4" s="5" t="n"/>
      <c r="T4" s="2" t="inlineStr">
        <is>
          <t>24 mesi</t>
        </is>
      </c>
      <c r="U4" s="2" t="inlineStr">
        <is>
          <t>Ricerca</t>
        </is>
      </c>
      <c r="V4" s="3" t="inlineStr">
        <is>
          <t>Ricercatori in età precoce, studenti, post-doc e ricercatori clinici</t>
        </is>
      </c>
      <c r="W4" s="3" t="inlineStr">
        <is>
          <t>Ricercatori in età precoce e studenti, post-doc e ricercatori clinici</t>
        </is>
      </c>
      <c r="X4" s="2" t="inlineStr">
        <is>
          <t>Canada</t>
        </is>
      </c>
      <c r="Y4" s="2" t="inlineStr">
        <is>
          <t>Inglese</t>
        </is>
      </c>
      <c r="Z4" s="7" t="inlineStr">
        <is>
          <t>https://braincanada.ca/research/funding-opportunities</t>
        </is>
      </c>
      <c r="AA4" s="3" t="inlineStr">
        <is>
          <t>Il bando offre finanziamenti per progetti di ricerca in varie aree, tra cui neuroscienze, neurologia, neurologia del neurodesenvolvimento e salute mentale degli anziani. Il finanziamento è per un periodo di due anni e varia da 100.000 a 500.000 EUR a progetto. Il bando è aperto a ricercatori in età precoce e a studenti, post-doc e ricercatori clinici. Il finanziamento include un premio di ingresso, un Passport di formazione e due esperienze di formazione e networking.</t>
        </is>
      </c>
      <c r="AB4" s="2" t="inlineStr">
        <is>
          <t>In scadenza (≤30 gg)</t>
        </is>
      </c>
      <c r="AC4" s="5" t="n">
        <v>46312</v>
      </c>
      <c r="AD4" s="5" t="n">
        <v>46312</v>
      </c>
      <c r="AE4" s="2" t="n"/>
    </row>
    <row r="5">
      <c r="A5" s="2" t="inlineStr">
        <is>
          <t>EU-HORIZON-EIC-2026-PATHFINDERCHALLENGES-01-03</t>
        </is>
      </c>
      <c r="B5" s="2" t="inlineStr">
        <is>
          <t>EU Funding &amp; Tenders Portal</t>
        </is>
      </c>
      <c r="C5" s="2" t="inlineStr">
        <is>
          <t>Horizon Europe – HORIZON EIC Grants</t>
        </is>
      </c>
      <c r="D5" s="2" t="inlineStr">
        <is>
          <t>Commissione europea</t>
        </is>
      </c>
      <c r="E5" s="3" t="inlineStr">
        <is>
          <t>DeepRAP: Deep Reasoning, Abstraction &amp; Planning towards trustworthy Cognitive AI Systems</t>
        </is>
      </c>
      <c r="F5" s="3" t="inlineStr">
        <is>
          <t>DeepRAP: Razonamento profondo, astrazione e pianificazione verso AI Sistemi Cognitivi affidabili</t>
        </is>
      </c>
      <c r="G5" s="2" t="inlineStr">
        <is>
          <t>Tecnologie riabilitazione</t>
        </is>
      </c>
      <c r="H5" s="2" t="inlineStr">
        <is>
          <t>robot</t>
        </is>
      </c>
      <c r="I5" s="2" t="inlineStr">
        <is>
          <t>Bassa</t>
        </is>
      </c>
      <c r="J5" s="3" t="inlineStr">
        <is>
          <t>Il testo non specifica esplicitamente riabilitazione, ictus, Parkinson, invecchiamento/demenze o tecnologie per la riabilitazione.</t>
        </is>
      </c>
      <c r="K5" s="4" t="n">
        <v>96000000</v>
      </c>
      <c r="L5" s="4" t="n">
        <v>4000000</v>
      </c>
      <c r="M5" s="2" t="inlineStr">
        <is>
          <t>EUR</t>
        </is>
      </c>
      <c r="N5" s="2" t="n">
        <v>8</v>
      </c>
      <c r="O5" s="3" t="inlineStr">
        <is>
          <t>Media – 8 progetti finanziabili (stima: tasso storico non disponibile)</t>
        </is>
      </c>
      <c r="P5" s="3" t="inlineStr">
        <is>
          <t>Non indicato</t>
        </is>
      </c>
      <c r="Q5" s="5" t="n">
        <v>46323</v>
      </c>
      <c r="R5" s="6">
        <f>IF(Q5="","",Q5-TODAY())</f>
        <v/>
      </c>
      <c r="S5" s="5" t="n">
        <v>46225</v>
      </c>
      <c r="T5" s="2" t="n"/>
      <c r="U5" s="2" t="inlineStr">
        <is>
          <t>Ricerca</t>
        </is>
      </c>
      <c r="V5" s="3" t="n"/>
      <c r="W5" s="3" t="inlineStr">
        <is>
          <t>Singolo PI con ente ospitante</t>
        </is>
      </c>
      <c r="X5" s="2" t="inlineStr">
        <is>
          <t>Stati membri UE e paesi associati (altri paesi secondo le condizioni del topic)</t>
        </is>
      </c>
      <c r="Y5" s="2" t="inlineStr">
        <is>
          <t>Inglese</t>
        </is>
      </c>
      <c r="Z5" s="7" t="inlineStr">
        <is>
          <t>https://ec.europa.eu/info/funding-tenders/opportunities/portal/screen/opportunities/topic-details/HORIZON-EIC-2026-PATHFINDERCHALLENGES-01-03</t>
        </is>
      </c>
      <c r="AA5" s="3" t="inlineStr">
        <is>
          <t>Il DeepRAP intende avanzare lo stato dell'arte scientifico e costruire una comunità robusta, interoperabile e applicata, posizionando l'Europa al vertice del riconoscimento affidabile delle AI cognitive. L'obiettivo principale è promuovere la leadership europea in AI cognitive sicure e umanizzate, supportando la sovranità e la competitività in settori chiave. Il DeepRAP promuove modelli e architetture che gestiscono dati multimodali, conoscenza incerta e possono essere addestrati e distribuiti con risorse computazionali limitate. Promuove meccanismi di fiducia provati che assicurano la trasparenza, la trasparenza, la giustizia, l'elaborazione del rischio, la sicurezza e l'alignamento con standard etico e legale, inclusi i diritti fondamentali e l'Act AI. Promuove nuove metodologie e metriche per l'elaborazione e la certificazione della ragioneria e della fiducia nell'AI, e il rispetto per le principi FAIR. Promuove le interazioni tra AI multiagente e le applicazioni innovative per AI cognitive. Il DeepRAP promuove l'interoperabilità, il benchmarking, i pilot comuni e l'alignamento etico e sociale. Il DeepRAP richiede idee innovative che esplorano nuove approcci, inclusi i combinatori di tecniche esistenti (ad esempio, AI neuro-simbolica) o la creazione di nuove strutture che superano i paradigmi attuali di AI profonda e di apprendimento a riposo. I progetti devono affrontare una o più delle seguenti capacità cognitive: ragionamento profondo, astrazione profonda e pianificazione. Il DeepRAP non specifica esplicitamente riabilitazione, ictus, Parkinson, invecchiamento/demenze o tecnologie per la riabilitazione.</t>
        </is>
      </c>
      <c r="AB5" s="2" t="inlineStr">
        <is>
          <t>In scadenza (≤30 gg)</t>
        </is>
      </c>
      <c r="AC5" s="5" t="n">
        <v>46312</v>
      </c>
      <c r="AD5" s="5" t="n">
        <v>46312</v>
      </c>
      <c r="AE5" s="2" t="n"/>
    </row>
    <row r="6">
      <c r="A6" s="2" t="inlineStr">
        <is>
          <t>EU-HORIZON-EIC-2026-PATHFINDERCHALLENGES-01-02</t>
        </is>
      </c>
      <c r="B6" s="2" t="inlineStr">
        <is>
          <t>EU Funding &amp; Tenders Portal</t>
        </is>
      </c>
      <c r="C6" s="2" t="inlineStr">
        <is>
          <t>Horizon Europe – HORIZON EIC Grants</t>
        </is>
      </c>
      <c r="D6" s="2" t="inlineStr">
        <is>
          <t>Commissione europea</t>
        </is>
      </c>
      <c r="E6" s="3" t="inlineStr">
        <is>
          <t>Biotechnology for Healthy Ageing</t>
        </is>
      </c>
      <c r="F6" s="3" t="inlineStr">
        <is>
          <t>Biotechnologia per l'Annuarità Salutare</t>
        </is>
      </c>
      <c r="G6" s="2" t="inlineStr">
        <is>
          <t>Invecchiamento</t>
        </is>
      </c>
      <c r="H6" s="2" t="inlineStr">
        <is>
          <t>healthy ageing, frailty, ageing</t>
        </is>
      </c>
      <c r="I6" s="2" t="inlineStr">
        <is>
          <t>Media</t>
        </is>
      </c>
      <c r="J6" s="3" t="inlineStr">
        <is>
          <t>Il testo non specifica esplicitamente riabilitazione, ictus, Parkinson, invecchiamento/demenze o tecnologie per la riabilitazione.</t>
        </is>
      </c>
      <c r="K6" s="4" t="n">
        <v>96000000</v>
      </c>
      <c r="L6" s="4" t="n">
        <v>4000000</v>
      </c>
      <c r="M6" s="2" t="inlineStr">
        <is>
          <t>EUR</t>
        </is>
      </c>
      <c r="N6" s="2" t="n">
        <v>8</v>
      </c>
      <c r="O6" s="3" t="inlineStr">
        <is>
          <t>Media – 8 progetti finanziabili (stima: tasso storico non disponibile)</t>
        </is>
      </c>
      <c r="P6" s="3" t="inlineStr">
        <is>
          <t>Non indicato</t>
        </is>
      </c>
      <c r="Q6" s="5" t="n">
        <v>46323</v>
      </c>
      <c r="R6" s="6">
        <f>IF(Q6="","",Q6-TODAY())</f>
        <v/>
      </c>
      <c r="S6" s="5" t="n">
        <v>46225</v>
      </c>
      <c r="T6" s="2" t="n"/>
      <c r="U6" s="2" t="inlineStr">
        <is>
          <t>Ricerca</t>
        </is>
      </c>
      <c r="V6" s="3" t="n"/>
      <c r="W6" s="3" t="inlineStr">
        <is>
          <t>Singolo PI con ente ospitante</t>
        </is>
      </c>
      <c r="X6" s="2" t="inlineStr">
        <is>
          <t>Stati membri UE e paesi associati (altri paesi secondo le condizioni del topic)</t>
        </is>
      </c>
      <c r="Y6" s="2" t="inlineStr">
        <is>
          <t>Inglese</t>
        </is>
      </c>
      <c r="Z6" s="7" t="inlineStr">
        <is>
          <t>https://ec.europa.eu/info/funding-tenders/opportunities/portal/screen/opportunities/topic-details/HORIZON-EIC-2026-PATHFINDERCHALLENGES-01-02</t>
        </is>
      </c>
      <c r="AA6" s="3" t="inlineStr">
        <is>
          <t>Il bando mira a promuovere progetti che sviluppano interventi biotecnologici per l'annuarità salutare, con l'obiettivo di accelerare la loro implementazione e adottazione. I progetti devono includere interventi biotecnologici o farmaceutici che prevengono, ritardano o reversano l'annuarità di una malattia specifica. Inoltre, si richiedono strumenti biomarker per la responsabile implementazione di interventi per l'annuarità salutare e nuove metodologie di approccio (NAM) per l'annuarità salutare. Non c'è un'indicazione esplicita di riabilitazione, ictus, Parkinson, invecchiamento/demenze o tecnologie per la riabilitazione.</t>
        </is>
      </c>
      <c r="AB6" s="2" t="inlineStr">
        <is>
          <t>In scadenza (≤30 gg)</t>
        </is>
      </c>
      <c r="AC6" s="5" t="n">
        <v>46312</v>
      </c>
      <c r="AD6" s="5" t="n">
        <v>46312</v>
      </c>
      <c r="AE6" s="2" t="n"/>
    </row>
    <row r="7">
      <c r="A7" s="2" t="inlineStr">
        <is>
          <t>EU-HORIZON-EIC-2026-PATHFINDERCHALLENGES-01-01</t>
        </is>
      </c>
      <c r="B7" s="2" t="inlineStr">
        <is>
          <t>EU Funding &amp; Tenders Portal</t>
        </is>
      </c>
      <c r="C7" s="2" t="inlineStr">
        <is>
          <t>Horizon Europe – HORIZON EIC Grants</t>
        </is>
      </c>
      <c r="D7" s="2" t="inlineStr">
        <is>
          <t>Commissione europea</t>
        </is>
      </c>
      <c r="E7" s="3" t="inlineStr">
        <is>
          <t>Advanced Materials for Miniaturised Energy Harvesting Systems</t>
        </is>
      </c>
      <c r="F7" s="3" t="inlineStr">
        <is>
          <t>Advanced Materials for Miniaturised Energy Harvesting Systems</t>
        </is>
      </c>
      <c r="G7" s="2" t="inlineStr">
        <is>
          <t>Tecnologie riabilitazione</t>
        </is>
      </c>
      <c r="H7" s="2" t="inlineStr">
        <is>
          <t>wearable</t>
        </is>
      </c>
      <c r="I7" s="2" t="inlineStr">
        <is>
          <t>Bassa</t>
        </is>
      </c>
      <c r="J7" s="3" t="inlineStr">
        <is>
          <t>Il testo non specifica esplicitamente riabilitazione, ictus, Parkinson, invecchiamento/demenze o tecnologie per la riabilitazione.</t>
        </is>
      </c>
      <c r="K7" s="4" t="n">
        <v>96000000</v>
      </c>
      <c r="L7" s="4" t="n">
        <v>4000000</v>
      </c>
      <c r="M7" s="2" t="inlineStr">
        <is>
          <t>EUR</t>
        </is>
      </c>
      <c r="N7" s="2" t="n">
        <v>8</v>
      </c>
      <c r="O7" s="3" t="inlineStr">
        <is>
          <t>Media – 8 progetti finanziabili (stima: tasso storico non disponibile)</t>
        </is>
      </c>
      <c r="P7" s="3" t="inlineStr">
        <is>
          <t>Non indicato</t>
        </is>
      </c>
      <c r="Q7" s="5" t="n">
        <v>46323</v>
      </c>
      <c r="R7" s="6">
        <f>IF(Q7="","",Q7-TODAY())</f>
        <v/>
      </c>
      <c r="S7" s="5" t="n">
        <v>46225</v>
      </c>
      <c r="T7" s="2" t="n"/>
      <c r="U7" s="2" t="inlineStr">
        <is>
          <t>Ricerca</t>
        </is>
      </c>
      <c r="V7" s="3" t="n"/>
      <c r="W7" s="3" t="inlineStr">
        <is>
          <t>Singolo PI con ente ospitante</t>
        </is>
      </c>
      <c r="X7" s="2" t="inlineStr">
        <is>
          <t>Stati membri UE e paesi associati (altri paesi secondo le condizioni del topic)</t>
        </is>
      </c>
      <c r="Y7" s="2" t="inlineStr">
        <is>
          <t>Inglese</t>
        </is>
      </c>
      <c r="Z7" s="7" t="inlineStr">
        <is>
          <t>https://ec.europa.eu/info/funding-tenders/opportunities/portal/screen/opportunities/topic-details/HORIZON-EIC-2026-PATHFINDERCHALLENGES-01-01</t>
        </is>
      </c>
      <c r="AA7" s="3" t="inlineStr">
        <is>
          <t>Il bando riguarda lo sviluppo di nuove materie prime avanzate per dispositivi di riscattaggio energetico miniaturizzati. L'obiettivo è la realizzazione di dispositivi autonomi energeticamente, con un'efficienza significativa rispetto alla tecnologia attuale. Il bando si concentra sulla sostenibilità e l'autonomia energetica dei sensori elettronici e dei sistemi IoT. Non c'è alcuna menzione specifica alla riabilitazione, ictus, Parkinson, invecchiamento/demenze o tecnologie per la riabilitazione.</t>
        </is>
      </c>
      <c r="AB7" s="2" t="inlineStr">
        <is>
          <t>In scadenza (≤30 gg)</t>
        </is>
      </c>
      <c r="AC7" s="5" t="n">
        <v>46312</v>
      </c>
      <c r="AD7" s="5" t="n">
        <v>46312</v>
      </c>
      <c r="AE7" s="2" t="n"/>
    </row>
    <row r="8">
      <c r="A8" s="2" t="inlineStr">
        <is>
          <t>GG-O-BJA-2026-172714</t>
        </is>
      </c>
      <c r="B8" s="2" t="inlineStr">
        <is>
          <t>Grants.gov</t>
        </is>
      </c>
      <c r="C8" s="2" t="inlineStr">
        <is>
          <t>Bureau of Justice Assistance – O-BJA-2026-172714</t>
        </is>
      </c>
      <c r="D8" s="2" t="inlineStr">
        <is>
          <t>Bureau of Justice Assistance</t>
        </is>
      </c>
      <c r="E8" s="3" t="inlineStr">
        <is>
          <t>BJA FY 2026 Veterans Treatment Court Program</t>
        </is>
      </c>
      <c r="F8" s="3" t="inlineStr">
        <is>
          <t>Programma di Court di Trattamento per Vincitori 2026 BJA</t>
        </is>
      </c>
      <c r="G8" s="2" t="inlineStr">
        <is>
          <t>Ictus</t>
        </is>
      </c>
      <c r="H8" s="2" t="inlineStr">
        <is>
          <t>traumatic brain injur</t>
        </is>
      </c>
      <c r="I8" s="2" t="inlineStr">
        <is>
          <t>Media</t>
        </is>
      </c>
      <c r="J8" s="3" t="inlineStr">
        <is>
          <t>non riguarda esplicitamente riabilitazione, ictus, Parkinson, invecchiamento/demenze o tecnologie per la riabilitazione</t>
        </is>
      </c>
      <c r="K8" s="4" t="n"/>
      <c r="L8" s="4" t="n">
        <v>2500000</v>
      </c>
      <c r="M8" s="2" t="inlineStr">
        <is>
          <t>USD</t>
        </is>
      </c>
      <c r="N8" s="2" t="n"/>
      <c r="O8" s="3" t="inlineStr">
        <is>
          <t>Non stimabile – dati insufficienti</t>
        </is>
      </c>
      <c r="P8" s="3" t="inlineStr">
        <is>
          <t>100% – nessun cost sharing richiesto</t>
        </is>
      </c>
      <c r="Q8" s="5" t="n">
        <v>46324</v>
      </c>
      <c r="R8" s="6">
        <f>IF(Q8="","",Q8-TODAY())</f>
        <v/>
      </c>
      <c r="S8" s="5" t="n">
        <v>46286</v>
      </c>
      <c r="T8" s="2" t="n"/>
      <c r="U8" s="2" t="inlineStr">
        <is>
          <t>Ricerca</t>
        </is>
      </c>
      <c r="V8" s="3" t="inlineStr">
        <is>
          <t>Others (see text field entitled "Additional Information on Eligibility" for clarification); Native American tribal governments (Federally recognized); State governments; City or township governments; Special district governments; County governments; Native American tribal organizations (other than Federally recognized tribal governments)</t>
        </is>
      </c>
      <c r="W8" s="3" t="n"/>
      <c r="X8" s="2" t="inlineStr">
        <is>
          <t>Solo enti statunitensi (salvo diversa indicazione)</t>
        </is>
      </c>
      <c r="Y8" s="2" t="inlineStr">
        <is>
          <t>Inglese</t>
        </is>
      </c>
      <c r="Z8" s="7" t="inlineStr">
        <is>
          <t>https://www.grants.gov/search-results-detail/363900</t>
        </is>
      </c>
      <c r="AA8" s="3" t="inlineStr">
        <is>
          <t>Il bando propone un avviso di opportunità (NOFO) per il Programma di Court di Trattamento per Vincitori 2026 BJA. Supporta l'implementazione e l'ampertamento delle operazioni di court di trattamento per vittime (VTC) per ridurre l'uso di sostanze come oppiacei, stimolanti e altre sostanze, inclusi i liquori, da parte di vittime di alto rischio e di alto bisogno nel sistema giudiziario. I court di trattamento per vittime integrano trattamenti per disordini del comportamento (DCS) e disordini mentali (DCM), test obbligatori di sostanze, incentivi e sanzioni, e servizi di trasferimento in ambienti giudiziariamente supervisori che hanno competenza giudiziaria sulle vittime nel sistema giudiziario che hanno DCS e/o disordini mentali concomitanti (DCM), inclusi quelli con un passato di violenza e disordini del pensiero e stress post-traumatico (PTSD) e/o infortunio cerebrale (TBI).</t>
        </is>
      </c>
      <c r="AB8" s="2" t="inlineStr">
        <is>
          <t>In scadenza (≤30 gg)</t>
        </is>
      </c>
      <c r="AC8" s="5" t="n">
        <v>46312</v>
      </c>
      <c r="AD8" s="5" t="n">
        <v>46312</v>
      </c>
      <c r="AE8" s="2" t="n"/>
    </row>
    <row r="9">
      <c r="A9" s="2" t="inlineStr">
        <is>
          <t>WEB-694d4c7fb063</t>
        </is>
      </c>
      <c r="B9" s="2" t="inlineStr">
        <is>
          <t>Fondazione Cariplo</t>
        </is>
      </c>
      <c r="C9" s="2" t="inlineStr">
        <is>
          <t>testo del bando</t>
        </is>
      </c>
      <c r="D9" s="2" t="inlineStr">
        <is>
          <t>Fondazione Cariplo</t>
        </is>
      </c>
      <c r="E9" s="3" t="inlineStr">
        <is>
          <t>testo del bando</t>
        </is>
      </c>
      <c r="F9" s="3" t="inlineStr">
        <is>
          <t>Progetti Emblematici 2026</t>
        </is>
      </c>
      <c r="G9" s="2" t="inlineStr">
        <is>
          <t>Invecchiamento</t>
        </is>
      </c>
      <c r="H9" s="2" t="inlineStr">
        <is>
          <t>fragilita</t>
        </is>
      </c>
      <c r="I9" s="2" t="inlineStr">
        <is>
          <t>Media</t>
        </is>
      </c>
      <c r="J9" s="3" t="inlineStr">
        <is>
          <t>non c'è nessun elemento specifico che riguardi riabilitazione, ictus, Parkinson, invecchiamento/demenze o tecnologie per la riabilitazione</t>
        </is>
      </c>
      <c r="K9" s="4" t="n">
        <v>5000000</v>
      </c>
      <c r="L9" s="4" t="n"/>
      <c r="M9" s="2" t="inlineStr">
        <is>
          <t>EUR</t>
        </is>
      </c>
      <c r="N9" s="2" t="n">
        <v>10</v>
      </c>
      <c r="O9" s="3" t="inlineStr">
        <is>
          <t>Media – 10 progetti finanziabili (stima: tasso storico non disponibile)</t>
        </is>
      </c>
      <c r="P9" s="3" t="inlineStr">
        <is>
          <t>Possibile co-finanziamento: verificare</t>
        </is>
      </c>
      <c r="Q9" s="5" t="n">
        <v>46324</v>
      </c>
      <c r="R9" s="6">
        <f>IF(Q9="","",Q9-TODAY())</f>
        <v/>
      </c>
      <c r="S9" s="5" t="n"/>
      <c r="T9" s="2" t="n"/>
      <c r="U9" s="2" t="inlineStr">
        <is>
          <t>Ricerca</t>
        </is>
      </c>
      <c r="V9" s="3" t="inlineStr">
        <is>
          <t>organizzazioni private senza scopo di lucro costituite e operative da almeno due anni</t>
        </is>
      </c>
      <c r="W9" s="3" t="inlineStr">
        <is>
          <t>I soggetti ammissibili possono candidarsi singolarmente o in partenariato con altri enti ammissibili alla Fondazione Cariplo</t>
        </is>
      </c>
      <c r="X9" s="2" t="inlineStr">
        <is>
          <t>Bergamo, Lodi, Mantova, Monza e Brianza, Sondrio</t>
        </is>
      </c>
      <c r="Y9" s="2" t="inlineStr">
        <is>
          <t>Italiano</t>
        </is>
      </c>
      <c r="Z9" s="7" t="inlineStr">
        <is>
          <t>https://www.fondazionecariplo.it/wp-content/uploads/2025/12/testo-del-bando.pdf</t>
        </is>
      </c>
      <c r="AA9" s="3" t="inlineStr">
        <is>
          <t>Il bando promuove progetti che favoriscano lo sviluppo sociale, culturale e ambientale del territorio, contribuendo alla migliorazione della qualità di vita. La somma destinata è di 5.000.000 euro per ciascuna delle seguenti province: Bergamo, Lodi, Mantova, Monza e Brianza, Sondrio. I soggetti ammissibili possono candidarsi singolarmente o in partenariato con altri enti ammissibili alla Fondazione Cariplo.</t>
        </is>
      </c>
      <c r="AB9" s="2" t="inlineStr">
        <is>
          <t>In scadenza (≤30 gg)</t>
        </is>
      </c>
      <c r="AC9" s="5" t="n">
        <v>46312</v>
      </c>
      <c r="AD9" s="5" t="n">
        <v>46312</v>
      </c>
      <c r="AE9" s="2" t="n"/>
    </row>
    <row r="10">
      <c r="A10" s="2" t="inlineStr">
        <is>
          <t>GG-RFA-NS-26-028</t>
        </is>
      </c>
      <c r="B10" s="2" t="inlineStr">
        <is>
          <t>Grants.gov</t>
        </is>
      </c>
      <c r="C10" s="2" t="inlineStr">
        <is>
          <t>National Institutes of Health – RFA-NS-26-028</t>
        </is>
      </c>
      <c r="D10" s="2" t="inlineStr">
        <is>
          <t>National Institutes of Health</t>
        </is>
      </c>
      <c r="E10" s="3" t="inlineStr">
        <is>
          <t>HEAL Initiative: Optimization of Therapeutic Medical Devices through Team Science Mechanistic Research (RM1)</t>
        </is>
      </c>
      <c r="F10" s="3" t="inlineStr">
        <is>
          <t>HEAL Initiative: Ricerca Sperimentale Team Science per l'Optimizzazione dei Dispositivi Terapeutici</t>
        </is>
      </c>
      <c r="G10" s="2" t="inlineStr">
        <is>
          <t>Ictus</t>
        </is>
      </c>
      <c r="H10" s="2" t="inlineStr">
        <is>
          <t>stroke</t>
        </is>
      </c>
      <c r="I10" s="2" t="inlineStr">
        <is>
          <t>Media</t>
        </is>
      </c>
      <c r="J10" s="3" t="inlineStr">
        <is>
          <t>Il testo non specifica esplicitamente riabilitazione, ictus, Parkinson, invecchiamento/demenze o tecnologie per la riabilitazione.</t>
        </is>
      </c>
      <c r="K10" s="4" t="n"/>
      <c r="L10" s="4" t="n"/>
      <c r="M10" s="2" t="inlineStr">
        <is>
          <t>USD</t>
        </is>
      </c>
      <c r="N10" s="2" t="n">
        <v>4</v>
      </c>
      <c r="O10" s="3" t="inlineStr">
        <is>
          <t>Bassa – 4 progetti finanziabili (stima: tasso storico non disponibile)</t>
        </is>
      </c>
      <c r="P10" s="3" t="inlineStr">
        <is>
          <t>100% – nessun cost sharing richiesto</t>
        </is>
      </c>
      <c r="Q10" s="5" t="n">
        <v>46325</v>
      </c>
      <c r="R10" s="6">
        <f>IF(Q10="","",Q10-TODAY())</f>
        <v/>
      </c>
      <c r="S10" s="5" t="n">
        <v>46097</v>
      </c>
      <c r="T10" s="2" t="n"/>
      <c r="U10" s="2" t="inlineStr">
        <is>
          <t>Ricerca</t>
        </is>
      </c>
      <c r="V10" s="3" t="inlineStr">
        <is>
          <t>Native American tribal governments (Federally recognized); Independent school districts; City or township governments; Private institutions of higher education; Nonprofits having a 501(c)(3) status with the IRS, other than institutions of higher education; County governments; Others (see text field entitled "Additional Information on Eligibility" for clarification); State governments; Small busine</t>
        </is>
      </c>
      <c r="W10" s="3" t="n"/>
      <c r="X10" s="2" t="inlineStr">
        <is>
          <t>Solo enti statunitensi (salvo diversa indicazione)</t>
        </is>
      </c>
      <c r="Y10" s="2" t="inlineStr">
        <is>
          <t>Inglese</t>
        </is>
      </c>
      <c r="Z10" s="7" t="inlineStr">
        <is>
          <t>https://www.grants.gov/search-results-detail/361520</t>
        </is>
      </c>
      <c r="AA10" s="3" t="inlineStr">
        <is>
          <t>Il programma della National Institutes of Health (NIH) propone un appello a proposte (NOFO) per investigare i meccanismi di azione dei dispositivi terapeutici, con l'obiettivo di migliorare i risultati clinici con approcci basati su dispositivi. I candidati dovranno avere esperienza in varie discipline come ingegneria, biologia, patofisiologia, chirurgia, cura clinica, gestione del servizio sanitario, statistica biostatistica, sviluppo software, modellistica computazionale, scienza dell'artificiale, scienza regolatoria e studi clinici. I progetti potrebbero includere studi clinici meccanici, studi animali e modellistica o simulazione computazionale. Non sono richieste proposte in questo momento.</t>
        </is>
      </c>
      <c r="AB10" s="2" t="inlineStr">
        <is>
          <t>In scadenza (≤30 gg)</t>
        </is>
      </c>
      <c r="AC10" s="5" t="n">
        <v>46312</v>
      </c>
      <c r="AD10" s="5" t="n">
        <v>46312</v>
      </c>
      <c r="AE10" s="2" t="n"/>
    </row>
    <row r="11">
      <c r="A11" s="2" t="inlineStr">
        <is>
          <t>GG-O-BJA-2026-172760</t>
        </is>
      </c>
      <c r="B11" s="2" t="inlineStr">
        <is>
          <t>Grants.gov</t>
        </is>
      </c>
      <c r="C11" s="2" t="inlineStr">
        <is>
          <t>Bureau of Justice Assistance – O-BJA-2026-172760</t>
        </is>
      </c>
      <c r="D11" s="2" t="inlineStr">
        <is>
          <t>Bureau of Justice Assistance</t>
        </is>
      </c>
      <c r="E11" s="3" t="inlineStr">
        <is>
          <t>BJA FY 2026 National Center for Veterans Justice</t>
        </is>
      </c>
      <c r="F11" s="3" t="inlineStr">
        <is>
          <t>Centro nazionale BJA per la giustizia dei veterani</t>
        </is>
      </c>
      <c r="G11" s="2" t="inlineStr">
        <is>
          <t>Ictus</t>
        </is>
      </c>
      <c r="H11" s="2" t="inlineStr">
        <is>
          <t>traumatic brain injur</t>
        </is>
      </c>
      <c r="I11" s="2" t="inlineStr">
        <is>
          <t>Bassa</t>
        </is>
      </c>
      <c r="J11" s="3" t="inlineStr">
        <is>
          <t>Il testo non specifica esplicitamente riabilitazione, ictus, Parkinson, invecchiamento/demenze o tecnologie per la riabilitazione.</t>
        </is>
      </c>
      <c r="K11" s="4" t="n"/>
      <c r="L11" s="4" t="n">
        <v>4000000</v>
      </c>
      <c r="M11" s="2" t="inlineStr">
        <is>
          <t>USD</t>
        </is>
      </c>
      <c r="N11" s="2" t="n"/>
      <c r="O11" s="3" t="inlineStr">
        <is>
          <t>Non stimabile – dati insufficienti</t>
        </is>
      </c>
      <c r="P11" s="3" t="inlineStr">
        <is>
          <t>100% – nessun cost sharing richiesto</t>
        </is>
      </c>
      <c r="Q11" s="5" t="n">
        <v>46325</v>
      </c>
      <c r="R11" s="6">
        <f>IF(Q11="","",Q11-TODAY())</f>
        <v/>
      </c>
      <c r="S11" s="5" t="n">
        <v>46286</v>
      </c>
      <c r="T11" s="2" t="n"/>
      <c r="U11" s="2" t="inlineStr">
        <is>
          <t>Altro</t>
        </is>
      </c>
      <c r="V11" s="3" t="inlineStr">
        <is>
          <t>Nonprofits that do not have a 501(c)(3) status with the IRS, other than institutions of higher education; Nonprofits having a 501(c)(3) status with the IRS, other than institutions of higher education; Private institutions of higher education; Public and State controlled institutions of higher education; Small businesses; For profit organizations other than small businesses</t>
        </is>
      </c>
      <c r="W11" s="3" t="n"/>
      <c r="X11" s="2" t="inlineStr">
        <is>
          <t>Solo enti statunitensi (salvo diversa indicazione)</t>
        </is>
      </c>
      <c r="Y11" s="2" t="inlineStr">
        <is>
          <t>Inglese</t>
        </is>
      </c>
      <c r="Z11" s="7" t="inlineStr">
        <is>
          <t>https://www.grants.gov/search-results-detail/363898</t>
        </is>
      </c>
      <c r="AA11" s="3" t="inlineStr">
        <is>
          <t>Il bando propone la creazione di un centro nazionale per fornire supporto specializzato a diversi enti criminali, terapeutici e giudiziari. Il centro si occupa di assistere e rispondere alle esigenze dei veterani nel sistema giudiziario, migliorare i risultati e rafforzare la sicurezza pubblica. Il centro fornisce strumenti specializzati, formazione e assistenza tecnica ai professionisti della giustizia per affrontare le considerazioni specifiche dei veterani come cultura militare, trauma combattimento, trauma sessuale militare, stress post-traumatico, lesioni cerebrali traumatiche e altre considerazioni specifiche dei veterani. Il supporto attraverso un'organizzazione centrale è essenziale per assistere i veterani che hanno bisogno di coordinare le loro esigenze attraverso diversi sistemi, inclusi il sistema giudiziario, il Dipartimento dei veterani (VA), i sistemi di salute mentale e sociali che operano sotto leggi e priorità istituzionali differenti.</t>
        </is>
      </c>
      <c r="AB11" s="2" t="inlineStr">
        <is>
          <t>In scadenza (≤30 gg)</t>
        </is>
      </c>
      <c r="AC11" s="5" t="n">
        <v>46312</v>
      </c>
      <c r="AD11" s="5" t="n">
        <v>46312</v>
      </c>
      <c r="AE11" s="2" t="n"/>
    </row>
    <row r="12">
      <c r="A12" s="2" t="inlineStr">
        <is>
          <t>WEB-8bfbdf2a6e30</t>
        </is>
      </c>
      <c r="B12" s="2" t="inlineStr">
        <is>
          <t>Compagnia di San Paolo</t>
        </is>
      </c>
      <c r="C12" s="2" t="inlineStr">
        <is>
          <t>Prossime opportunità di sostegno</t>
        </is>
      </c>
      <c r="D12" s="2" t="inlineStr">
        <is>
          <t>Compagnia di San Paolo</t>
        </is>
      </c>
      <c r="E12" s="3" t="inlineStr">
        <is>
          <t>Prossime opportunità di sostegno</t>
        </is>
      </c>
      <c r="F12" s="3" t="inlineStr">
        <is>
          <t>Prossime opportunità di sostegno</t>
        </is>
      </c>
      <c r="G12" s="2" t="inlineStr">
        <is>
          <t>Riabilitazione</t>
        </is>
      </c>
      <c r="H12" s="2" t="inlineStr">
        <is>
          <t>disabilit</t>
        </is>
      </c>
      <c r="I12" s="2" t="inlineStr">
        <is>
          <t>Media</t>
        </is>
      </c>
      <c r="J12" s="3" t="inlineStr">
        <is>
          <t>Il testo non specifica esplicitamente temi come riabilitazione, ictus, Parkinson, invecchiamento/demenze o tecnologie per la riabilitazione.</t>
        </is>
      </c>
      <c r="K12" s="4" t="n"/>
      <c r="L12" s="4" t="n"/>
      <c r="M12" s="2" t="n"/>
      <c r="N12" s="2" t="n"/>
      <c r="O12" s="3" t="inlineStr">
        <is>
          <t>Non stimabile – dati insufficienti</t>
        </is>
      </c>
      <c r="P12" s="3" t="inlineStr">
        <is>
          <t>Non indicato</t>
        </is>
      </c>
      <c r="Q12" s="5" t="n">
        <v>46325</v>
      </c>
      <c r="R12" s="6">
        <f>IF(Q12="","",Q12-TODAY())</f>
        <v/>
      </c>
      <c r="S12" s="5" t="n"/>
      <c r="T12" s="2" t="n"/>
      <c r="U12" s="2" t="inlineStr">
        <is>
          <t>Ricerca</t>
        </is>
      </c>
      <c r="V12" s="3" t="n"/>
      <c r="W12" s="3" t="n"/>
      <c r="X12" s="2" t="inlineStr">
        <is>
          <t>Italia (Piemonte, Liguria)</t>
        </is>
      </c>
      <c r="Y12" s="2" t="inlineStr">
        <is>
          <t>Italiano</t>
        </is>
      </c>
      <c r="Z12" s="7" t="inlineStr">
        <is>
          <t>https://www.compagniadisanpaolo.it/it/prossime-opportunita-di-sostegno/</t>
        </is>
      </c>
      <c r="AA12" s="3" t="n"/>
      <c r="AB12" s="2" t="inlineStr">
        <is>
          <t>In scadenza (≤30 gg)</t>
        </is>
      </c>
      <c r="AC12" s="5" t="n">
        <v>46312</v>
      </c>
      <c r="AD12" s="5" t="n">
        <v>46312</v>
      </c>
      <c r="AE12" s="2" t="n"/>
    </row>
    <row r="13">
      <c r="A13" s="2" t="inlineStr">
        <is>
          <t>WEB-0f44cdfbab65</t>
        </is>
      </c>
      <c r="B13" s="2" t="inlineStr">
        <is>
          <t>Fondazione CRT</t>
        </is>
      </c>
      <c r="C13" s="2" t="inlineStr">
        <is>
          <t>bando legami in comune def compressed 1</t>
        </is>
      </c>
      <c r="D13" s="2" t="inlineStr">
        <is>
          <t>Fondazione CRT</t>
        </is>
      </c>
      <c r="E13" s="3" t="inlineStr">
        <is>
          <t>bando legami in comune def compressed 1</t>
        </is>
      </c>
      <c r="F13" s="3" t="inlineStr">
        <is>
          <t>Bando Legami in Comune 2026</t>
        </is>
      </c>
      <c r="G13" s="2" t="inlineStr">
        <is>
          <t>Invecchiamento</t>
        </is>
      </c>
      <c r="H13" s="2" t="inlineStr">
        <is>
          <t>anzian, fragilita, invecchiamento</t>
        </is>
      </c>
      <c r="I13" s="2" t="inlineStr">
        <is>
          <t>Media</t>
        </is>
      </c>
      <c r="J13" s="3" t="inlineStr">
        <is>
          <t>Il bando non è specificamente dedicato a riabilitazione, ictus, Parkinson, invecchiamento/demenze o tecnologie per la riabilitazione</t>
        </is>
      </c>
      <c r="K13" s="4" t="n">
        <v>60000</v>
      </c>
      <c r="L13" s="4" t="n"/>
      <c r="M13" s="2" t="inlineStr">
        <is>
          <t>EUR</t>
        </is>
      </c>
      <c r="N13" s="2" t="n"/>
      <c r="O13" s="3" t="inlineStr">
        <is>
          <t>Non stimabile – dati insufficienti</t>
        </is>
      </c>
      <c r="P13" s="3" t="inlineStr">
        <is>
          <t>Possibile co-finanziamento: verificare</t>
        </is>
      </c>
      <c r="Q13" s="5" t="n">
        <v>46325</v>
      </c>
      <c r="R13" s="6">
        <f>IF(Q13="","",Q13-TODAY())</f>
        <v/>
      </c>
      <c r="S13" s="5" t="n"/>
      <c r="T13" s="2" t="inlineStr">
        <is>
          <t>12 mesi</t>
        </is>
      </c>
      <c r="U13" s="2" t="inlineStr">
        <is>
          <t>Ricerca</t>
        </is>
      </c>
      <c r="V13" s="3" t="inlineStr">
        <is>
          <t>Enti locali, Terzo Settore, giovani, amministrazioni locali, cittadini</t>
        </is>
      </c>
      <c r="W13" s="3" t="n"/>
      <c r="X13" s="2" t="inlineStr">
        <is>
          <t>Piemonte, Valle d'Aosta</t>
        </is>
      </c>
      <c r="Y13" s="2" t="inlineStr">
        <is>
          <t>Italiano</t>
        </is>
      </c>
      <c r="Z13" s="7" t="inlineStr">
        <is>
          <t>https://www.fondazionecrt.it/wp-content/uploads/2026/07/bando-legami-in-comune-def-compressed-1.pdf</t>
        </is>
      </c>
      <c r="AA13" s="3" t="inlineStr">
        <is>
          <t>Il bando riguarda la promozione dello sviluppo economico e sociale del territorio, con particolare attenzione ai piccoli comuni del Piemonte e della Valle d'Aosta. La Fondazione CRT intende sostenere le comunità locali investendo nelle persone e nei processi, creando spazi condivisi e modelli di gestione partecipata. Il bando prevede un numero di progetti limitato e una durata di 12 mesi. Il finanziamento è a partecipazione volontaria e non c'è specifica indicazione di copertura di costi.</t>
        </is>
      </c>
      <c r="AB13" s="2" t="inlineStr">
        <is>
          <t>In scadenza (≤30 gg)</t>
        </is>
      </c>
      <c r="AC13" s="5" t="n">
        <v>46312</v>
      </c>
      <c r="AD13" s="5" t="n">
        <v>46312</v>
      </c>
      <c r="AE13" s="2" t="n"/>
    </row>
    <row r="14">
      <c r="A14" s="2" t="inlineStr">
        <is>
          <t>WEB-97d1e5b39042</t>
        </is>
      </c>
      <c r="B14" s="2" t="inlineStr">
        <is>
          <t>Dunhill Medical Trust</t>
        </is>
      </c>
      <c r="C14" s="2" t="inlineStr">
        <is>
          <t>26 09 Excellence Awards Vivensa Academy webtext main website</t>
        </is>
      </c>
      <c r="D14" s="2" t="inlineStr">
        <is>
          <t>Dunhill Medical Trust</t>
        </is>
      </c>
      <c r="E14" s="3" t="inlineStr">
        <is>
          <t>26 09 Excellence Awards Vivensa Academy webtext main website</t>
        </is>
      </c>
      <c r="F14" s="3" t="inlineStr">
        <is>
          <t>Vivensa Academy Excellence Awards 2027</t>
        </is>
      </c>
      <c r="G14" s="2" t="inlineStr">
        <is>
          <t>Invecchiamento</t>
        </is>
      </c>
      <c r="H14" s="2" t="inlineStr">
        <is>
          <t>older people, ageing</t>
        </is>
      </c>
      <c r="I14" s="2" t="inlineStr">
        <is>
          <t>Bassa</t>
        </is>
      </c>
      <c r="J14" s="3" t="inlineStr">
        <is>
          <t>Il testo non specifica esplicitamente riabilitazione, ictus, Parkinson, invecchiamento/demenze o tecnologie per la riabilitazione.</t>
        </is>
      </c>
      <c r="K14" s="4" t="n">
        <v>120000</v>
      </c>
      <c r="L14" s="4" t="n"/>
      <c r="M14" s="2" t="inlineStr">
        <is>
          <t>EUR</t>
        </is>
      </c>
      <c r="N14" s="2" t="n">
        <v>3</v>
      </c>
      <c r="O14" s="3" t="inlineStr">
        <is>
          <t>Bassa – 3 progetti finanziabili (stima: tasso storico non disponibile)</t>
        </is>
      </c>
      <c r="P14" s="3" t="inlineStr">
        <is>
          <t>Non indicato</t>
        </is>
      </c>
      <c r="Q14" s="5" t="n">
        <v>46325</v>
      </c>
      <c r="R14" s="6">
        <f>IF(Q14="","",Q14-TODAY())</f>
        <v/>
      </c>
      <c r="S14" s="5" t="n"/>
      <c r="T14" s="2" t="inlineStr">
        <is>
          <t>36 mesi</t>
        </is>
      </c>
      <c r="U14" s="2" t="inlineStr">
        <is>
          <t>Ricerca</t>
        </is>
      </c>
      <c r="V14" s="3" t="n"/>
      <c r="W14" s="3" t="n"/>
      <c r="X14" s="2" t="inlineStr">
        <is>
          <t>Regno Unito</t>
        </is>
      </c>
      <c r="Y14" s="2" t="inlineStr">
        <is>
          <t>Inglese</t>
        </is>
      </c>
      <c r="Z14" s="7" t="inlineStr">
        <is>
          <t>https://vivensafoundation.org.uk/wp-content/uploads/2026/09/26-09-Excellence-Awards_Vivensa-Academy-webtext_main-website.pdf</t>
        </is>
      </c>
      <c r="AA14" s="3" t="inlineStr">
        <is>
          <t>I Vivensa Academy Excellence Awards 2027 sono aperti per nominazioni. Le candidature si richiudono alle 17:00 del 30 ottobre 2026. Il testo non specifica esplicitamente come il bando riguardi riabilitazione, ictus, Parkinson, invecchiamento/demenze o tecnologie per la riabilitazione. Il bando prevede tre premi di 40k per anno per tre anni, totalizzando 120k. I premi sono rivolti a un giovane o intermedio esperto di ricerca in età avanzata, a un esperto di ricerca di età avanzata e a un'ottima impresa di ricerca in età avanzata. I fondi possono essere utilizzati per attività di ricerca o sviluppo carriera in ambito età avanzata.</t>
        </is>
      </c>
      <c r="AB14" s="2" t="inlineStr">
        <is>
          <t>In scadenza (≤30 gg)</t>
        </is>
      </c>
      <c r="AC14" s="5" t="n">
        <v>46312</v>
      </c>
      <c r="AD14" s="5" t="n">
        <v>46312</v>
      </c>
      <c r="AE14" s="2" t="n"/>
    </row>
    <row r="15">
      <c r="A15" s="2" t="inlineStr">
        <is>
          <t>WEB-00773cbd93aa</t>
        </is>
      </c>
      <c r="B15" s="2" t="inlineStr">
        <is>
          <t>Michael J. Fox Foundation</t>
        </is>
      </c>
      <c r="C15" s="2" t="inlineStr">
        <is>
          <t>Bridge Funding for Disrupted Neurodegenerative Research Grant Program (BFDN) Powering the Next Generation of Research</t>
        </is>
      </c>
      <c r="D15" s="2" t="inlineStr">
        <is>
          <t>Michael J. Fox Foundation</t>
        </is>
      </c>
      <c r="E15" s="3" t="inlineStr">
        <is>
          <t>Bridge Funding for Disrupted Neurodegenerative Research Grant Program (BFDN) Powering the Next Generation of Research</t>
        </is>
      </c>
      <c r="F15" s="3" t="inlineStr">
        <is>
          <t>Bridge Funding per Ricerche Neurodegenerative Interrutte</t>
        </is>
      </c>
      <c r="G15" s="2" t="inlineStr">
        <is>
          <t>Parkinson, Invecchiamento</t>
        </is>
      </c>
      <c r="H15" s="2" t="inlineStr">
        <is>
          <t>parkinson, dementi, alzheimer, neurodegenerat</t>
        </is>
      </c>
      <c r="I15" s="2" t="inlineStr">
        <is>
          <t>Media</t>
        </is>
      </c>
      <c r="J15" s="3" t="inlineStr">
        <is>
          <t>Il testo non specifica esplicitamente riabilitazione, ictus, Parkinson, invecchiamento/demenze o tecnologie per la riabilitazione, ma riguarda principalmente ricerca su malattie neurodegenerative.</t>
        </is>
      </c>
      <c r="K15" s="4" t="n">
        <v>250000</v>
      </c>
      <c r="L15" s="4" t="n"/>
      <c r="M15" s="2" t="inlineStr">
        <is>
          <t>USD</t>
        </is>
      </c>
      <c r="N15" s="2" t="n">
        <v>100</v>
      </c>
      <c r="O15" s="3" t="inlineStr">
        <is>
          <t>Alta – 100 progetti finanziabili (stima: tasso storico non disponibile)</t>
        </is>
      </c>
      <c r="P15" s="3" t="inlineStr">
        <is>
          <t>Possibile co-finanziamento: verificare</t>
        </is>
      </c>
      <c r="Q15" s="5" t="n">
        <v>46325</v>
      </c>
      <c r="R15" s="6">
        <f>IF(Q15="","",Q15-TODAY())</f>
        <v/>
      </c>
      <c r="S15" s="5" t="n"/>
      <c r="T15" s="2" t="inlineStr">
        <is>
          <t>300 mesi</t>
        </is>
      </c>
      <c r="U15" s="2" t="inlineStr">
        <is>
          <t>Ricerca</t>
        </is>
      </c>
      <c r="V15" s="3" t="inlineStr">
        <is>
          <t>Iniziatori di carriera NIH o entro 7 anni dalla loro designazione come iniziatori di carriera NIH</t>
        </is>
      </c>
      <c r="W15" s="3" t="n"/>
      <c r="X15" s="2" t="inlineStr">
        <is>
          <t>Mondiale</t>
        </is>
      </c>
      <c r="Y15" s="2" t="inlineStr">
        <is>
          <t>Inglese</t>
        </is>
      </c>
      <c r="Z15" s="7" t="inlineStr">
        <is>
          <t>https://www.michaeljfox.org/grant/bridge-funding-disrupted-neurodegenerative-research-grant-program-bfdn-powering-next</t>
        </is>
      </c>
      <c r="AA15" s="3" t="inlineStr">
        <is>
          <t>Il programma mira a supportare progetti di ricerca di iniziatori di carriera per progetti di neurologia interrotti da cambiamenti nel finanziamento federale. Il finanziamento è per costi di ricerca e stipendi. Il programma è aperto a iniziatori di carriera NIH o entro 7 anni dalla loro designazione come iniziatori di carriera NIH. Il finanziamento è per un periodo di 3 a 12 mesi e può raggiungere fino a 250.000 EUR. Il programma è specificato per progetti di Alzheimer, Frontotemporal Dementia, Parkinson, Dementia con Sostituti di Lewy e/o altri disturbi neurologici simili.</t>
        </is>
      </c>
      <c r="AB15" s="2" t="inlineStr">
        <is>
          <t>In scadenza (≤30 gg)</t>
        </is>
      </c>
      <c r="AC15" s="5" t="n">
        <v>46312</v>
      </c>
      <c r="AD15" s="5" t="n">
        <v>46312</v>
      </c>
      <c r="AE15" s="2" t="n"/>
    </row>
    <row r="16">
      <c r="A16" s="2" t="inlineStr">
        <is>
          <t>GG-RFA-AG-27-005</t>
        </is>
      </c>
      <c r="B16" s="2" t="inlineStr">
        <is>
          <t>Grants.gov</t>
        </is>
      </c>
      <c r="C16" s="2" t="inlineStr">
        <is>
          <t>National Institutes of Health – RFA-AG-27-005</t>
        </is>
      </c>
      <c r="D16" s="2" t="inlineStr">
        <is>
          <t>National Institutes of Health</t>
        </is>
      </c>
      <c r="E16" s="3" t="inlineStr">
        <is>
          <t>The NIA Genetics of Alzheimer's Disease Data Storage Site (NIAGADS)</t>
        </is>
      </c>
      <c r="F16" s="3" t="inlineStr">
        <is>
          <t>NIAGADS: Archivio e Calcolo di Dati per la Genetica e Genomica dell'Alzheimer</t>
        </is>
      </c>
      <c r="G16" s="2" t="inlineStr">
        <is>
          <t>Invecchiamento</t>
        </is>
      </c>
      <c r="H16" s="2" t="inlineStr">
        <is>
          <t>dementi, alzheimer, aging</t>
        </is>
      </c>
      <c r="I16" s="2" t="inlineStr">
        <is>
          <t>Bassa</t>
        </is>
      </c>
      <c r="J16" s="3" t="inlineStr">
        <is>
          <t>Il testo non riguarda esplicitamente riabilitazione, ictus, Parkinson, invecchiamento/demenze o tecnologie per la riabilitazione.</t>
        </is>
      </c>
      <c r="K16" s="4" t="n"/>
      <c r="L16" s="4" t="n"/>
      <c r="M16" s="2" t="inlineStr">
        <is>
          <t>USD</t>
        </is>
      </c>
      <c r="N16" s="2" t="n"/>
      <c r="O16" s="3" t="inlineStr">
        <is>
          <t>Non stimabile – dati insufficienti</t>
        </is>
      </c>
      <c r="P16" s="3" t="inlineStr">
        <is>
          <t>100% – nessun cost sharing richiesto</t>
        </is>
      </c>
      <c r="Q16" s="5" t="n">
        <v>46327</v>
      </c>
      <c r="R16" s="6">
        <f>IF(Q16="","",Q16-TODAY())</f>
        <v/>
      </c>
      <c r="S16" s="5" t="n">
        <v>46160</v>
      </c>
      <c r="T16" s="2" t="n"/>
      <c r="U16" s="2" t="inlineStr">
        <is>
          <t>Ricerca</t>
        </is>
      </c>
      <c r="V16" s="3" t="inlineStr">
        <is>
          <t>County governments; Independent school districts; Native American tribal organizations (other than Federally recognized tribal governments); State governments; Native American tribal governments (Federally recognized); Others (see text field entitled "Additional Information on Eligibility" for clarification); City or township governments; Nonprofits that do not have a 501(c)(3) status with the IRS</t>
        </is>
      </c>
      <c r="W16" s="3" t="n"/>
      <c r="X16" s="2" t="inlineStr">
        <is>
          <t>Solo enti statunitensi (salvo diversa indicazione)</t>
        </is>
      </c>
      <c r="Y16" s="2" t="inlineStr">
        <is>
          <t>Inglese</t>
        </is>
      </c>
      <c r="Z16" s="7" t="inlineStr">
        <is>
          <t>https://www.grants.gov/search-results-detail/362454</t>
        </is>
      </c>
      <c r="AA16" s="3" t="inlineStr">
        <is>
          <t>Il programma intende pubblicare un avviso di finanziamento per ottenere applicazioni per sviluppare, gestire e mantenere un sistema di archiviazione e calcolo del cloud per dati geneticamente e genomici dell'Alzheimer. Il sistema dovrà essere sicuro, scalabile e interoperabile. Il sistema supporta l'archiviazione e la distribuzione dei dati genetici umani legati all'Alzheimer/ADRD. Il progetto mira a: facilitare l'inserimento, cura, armonizzazione e analisi di grandi dataset multi-origini; fornire risorse di analisi robuste, visualizzazione e di risorse pronte per l'intelligenza artificiale all'interno di spazi di lavoro sicuri del cloud; assicurare conformità alle politiche di sicurezza e di scambio di dati federali; promuovere l'interoperabilità con altri reparti NIH e NIA; e fornire supporto all'utente, formazione e coinvolgimento della comunità. L'obiettivo è promuovere la collaborazione, accelerare la scoperta e massimizzare il valore scientifico e l'effetto dell'indagine sui dati genetici dell'Alzheimer/ADRD per la comunità di ricerca. Il progetto mira a aderire al piano del NIH per la scienza di qualità di rame e alle milestone di implementazione per l'Alzheimer/ADRD. Il progetto mira a promuovere la direzione strategica di NIA, in particolare la meta 6 per supportare infrastrutture e risorse necessarie per la ricerca di alta qualità, promuovendo la condivisione dei dati, l'infrastruttura computazionale e la rigore della ricerca nell'intero campo dell'Alzheimer/ADRD.</t>
        </is>
      </c>
      <c r="AB16" s="2" t="inlineStr">
        <is>
          <t>In scadenza (≤30 gg)</t>
        </is>
      </c>
      <c r="AC16" s="5" t="n">
        <v>46312</v>
      </c>
      <c r="AD16" s="5" t="n">
        <v>46312</v>
      </c>
      <c r="AE16" s="2" t="n"/>
    </row>
    <row r="17">
      <c r="A17" s="2" t="inlineStr">
        <is>
          <t>GG-RFA-HD-27-001</t>
        </is>
      </c>
      <c r="B17" s="2" t="inlineStr">
        <is>
          <t>Grants.gov</t>
        </is>
      </c>
      <c r="C17" s="2" t="inlineStr">
        <is>
          <t>National Institutes of Health – RFA-HD-27-001</t>
        </is>
      </c>
      <c r="D17" s="2" t="inlineStr">
        <is>
          <t>National Institutes of Health</t>
        </is>
      </c>
      <c r="E17" s="3" t="inlineStr">
        <is>
          <t>Autism Centers of Excellence R01</t>
        </is>
      </c>
      <c r="F17" s="3" t="inlineStr">
        <is>
          <t>Centri di Esplorazione Autismo R01</t>
        </is>
      </c>
      <c r="G17" s="2" t="inlineStr">
        <is>
          <t>Ictus</t>
        </is>
      </c>
      <c r="H17" s="2" t="inlineStr">
        <is>
          <t>stroke</t>
        </is>
      </c>
      <c r="I17" s="2" t="inlineStr">
        <is>
          <t>Bassa</t>
        </is>
      </c>
      <c r="J17" s="3" t="inlineStr">
        <is>
          <t>Il testo non menziona esplicitamente riabilitazione, ictus, Parkinson, invecchiamento/demenze o tecnologie per la riabilitazione.</t>
        </is>
      </c>
      <c r="K17" s="4" t="n">
        <v>10000000</v>
      </c>
      <c r="L17" s="4" t="n"/>
      <c r="M17" s="2" t="inlineStr">
        <is>
          <t>USD</t>
        </is>
      </c>
      <c r="N17" s="2" t="n">
        <v>3</v>
      </c>
      <c r="O17" s="3" t="inlineStr">
        <is>
          <t>Bassa – 3 progetti finanziabili (stima: tasso storico non disponibile)</t>
        </is>
      </c>
      <c r="P17" s="3" t="inlineStr">
        <is>
          <t>100% – nessun cost sharing richiesto</t>
        </is>
      </c>
      <c r="Q17" s="5" t="n">
        <v>46328</v>
      </c>
      <c r="R17" s="6">
        <f>IF(Q17="","",Q17-TODAY())</f>
        <v/>
      </c>
      <c r="S17" s="5" t="n">
        <v>45923</v>
      </c>
      <c r="T17" s="2" t="n"/>
      <c r="U17" s="2" t="inlineStr">
        <is>
          <t>Ricerca</t>
        </is>
      </c>
      <c r="V17" s="3" t="inlineStr">
        <is>
          <t>City or township governments; For profit organizations other than small businesses; Small businesses; State governments; Native American tribal organizations (other than Federally recognized tribal governments); Private institutions of higher education; Others (see text field entitled "Additional Information on Eligibility" for clarification); Public and State controlled institutions of higher edu</t>
        </is>
      </c>
      <c r="W17" s="3" t="n"/>
      <c r="X17" s="2" t="inlineStr">
        <is>
          <t>Solo enti statunitensi (salvo diversa indicazione)</t>
        </is>
      </c>
      <c r="Y17" s="2" t="inlineStr">
        <is>
          <t>Inglese</t>
        </is>
      </c>
      <c r="Z17" s="7" t="inlineStr">
        <is>
          <t>https://www.grants.gov/search-results-detail/360643</t>
        </is>
      </c>
      <c r="AA17" s="3" t="inlineStr">
        <is>
          <t>Il National Institutes of Health intende pubblicare un avviso di finanziamento per i Centri di Esplorazione Autismo (ACE) per ottenere applicazioni di ricerca che si fonda sulle progressioni e sulle dinamiche del passato 23 anni di ricerca ACE. Ogni ACE Network comprende un progetto multi-site concentrato su un argomento specifico di ricerca per supporto R01. Ogni ACE Network invia una applicazione R01 che include assegni a siti collaborativi. Non si richiedono applicazioni in questo momento. Questo avviso è fornito per permettere agli eventuali candidati di sviluppare collaborazioni e progetti rispondenti. Questo NOFO utilizza il codice di attività R01 Research Project Grant. Investigatori con esperienza e intuizioni in questo campo della scienza sono incoraggiati a iniziare a considerare l'applicazione per questo NOFO nuovo. Inoltre, le investigazioni che combinano esperienza in discipline scientifiche sono incoraggiate e questi investigatori dovrebbero iniziare a considerare l'applicazione per questa applicazione. Autorità di finanziamento che permettono all'Eunice Kennedy Shriver National Institute of Child Health and Human Development di prevedere questa opportunità sono le seguenti: Acta della Salute Pubblica, Sezione 301, 448 e 487, come modificato, Leggi 78-410 e 99-158, come modificato, 42 U.S.C. 241; 42 U.S.C. 285g; 42 U.S.C. 288; Legge di Ricerca e sviluppo dei piccoli imprenditori del 1992, Legge 102-564, Legge 118-47.</t>
        </is>
      </c>
      <c r="AB17" s="2" t="inlineStr">
        <is>
          <t>In scadenza (≤30 gg)</t>
        </is>
      </c>
      <c r="AC17" s="5" t="n">
        <v>46312</v>
      </c>
      <c r="AD17" s="5" t="n">
        <v>46312</v>
      </c>
      <c r="AE17" s="2" t="n"/>
    </row>
    <row r="18">
      <c r="A18" s="2" t="inlineStr">
        <is>
          <t>GG-RFA-HD-27-002</t>
        </is>
      </c>
      <c r="B18" s="2" t="inlineStr">
        <is>
          <t>Grants.gov</t>
        </is>
      </c>
      <c r="C18" s="2" t="inlineStr">
        <is>
          <t>National Institutes of Health – RFA-HD-27-002</t>
        </is>
      </c>
      <c r="D18" s="2" t="inlineStr">
        <is>
          <t>National Institutes of Health</t>
        </is>
      </c>
      <c r="E18" s="3" t="inlineStr">
        <is>
          <t>Autism Centers of Excellence P50</t>
        </is>
      </c>
      <c r="F18" s="3" t="inlineStr">
        <is>
          <t>Centri di Esplorazione Autismo P50</t>
        </is>
      </c>
      <c r="G18" s="2" t="inlineStr">
        <is>
          <t>Ictus</t>
        </is>
      </c>
      <c r="H18" s="2" t="inlineStr">
        <is>
          <t>stroke</t>
        </is>
      </c>
      <c r="I18" s="2" t="inlineStr">
        <is>
          <t>Bassa</t>
        </is>
      </c>
      <c r="J18" s="3" t="inlineStr">
        <is>
          <t>Il testo non menziona esplicitamente riabilitazione, ictus, Parkinson, invecchiamento/demenze o tecnologie per la riabilitazione.</t>
        </is>
      </c>
      <c r="K18" s="4" t="n">
        <v>10000000</v>
      </c>
      <c r="L18" s="4" t="n"/>
      <c r="M18" s="2" t="inlineStr">
        <is>
          <t>USD</t>
        </is>
      </c>
      <c r="N18" s="2" t="n">
        <v>3</v>
      </c>
      <c r="O18" s="3" t="inlineStr">
        <is>
          <t>Bassa – 3 progetti finanziabili (stima: tasso storico non disponibile)</t>
        </is>
      </c>
      <c r="P18" s="3" t="inlineStr">
        <is>
          <t>100% – nessun cost sharing richiesto</t>
        </is>
      </c>
      <c r="Q18" s="5" t="n">
        <v>46328</v>
      </c>
      <c r="R18" s="6">
        <f>IF(Q18="","",Q18-TODAY())</f>
        <v/>
      </c>
      <c r="S18" s="5" t="n">
        <v>45923</v>
      </c>
      <c r="T18" s="2" t="n"/>
      <c r="U18" s="2" t="inlineStr">
        <is>
          <t>Ricerca</t>
        </is>
      </c>
      <c r="V18" s="3" t="inlineStr">
        <is>
          <t>Special district governments; Native American tribal governments (Federally recognized); Nonprofits having a 501(c)(3) status with the IRS, other than institutions of higher education; Nonprofits that do not have a 501(c)(3) status with the IRS, other than institutions of higher education; Small businesses; Private institutions of higher education; City or township governments; For profit organiza</t>
        </is>
      </c>
      <c r="W18" s="3" t="n"/>
      <c r="X18" s="2" t="inlineStr">
        <is>
          <t>Solo enti statunitensi (salvo diversa indicazione)</t>
        </is>
      </c>
      <c r="Y18" s="2" t="inlineStr">
        <is>
          <t>Inglese</t>
        </is>
      </c>
      <c r="Z18" s="7" t="inlineStr">
        <is>
          <t>https://www.grants.gov/search-results-detail/360644</t>
        </is>
      </c>
      <c r="AA18" s="3" t="inlineStr">
        <is>
          <t>Il National Institutes of Health intende pubblicare un annuncio di finanziamento per i Centri di Esplorazione Autismo (ACE). L'annuncio mira a ottenere applicazioni per progetti di ricerca che si basino sulle esperienze e i progressi del passato 23 anni di ricerca ACE e che utilizzino tecnologie e metodi avanzati. Non sono stati richiesti applicazioni attualmente. Questo annuncio è stato fornito per permettere agli eventuali candidati di preparare collaborazioni e progetti rispondenti. Questo NOFO utilizzerà l'attività codice P50 - Programmi di Ricerca e Centri. I ricercatori con esperienza e intuizioni in questo campo di ricerca sono incoraggiati a iniziare a considerare l'applicazione per questo nuovo NOFO. Inoltre, le investigazioni che combinano esperienza in discipline scientifiche sono incoraggiate e questi ricercatori dovrebbero iniziare a considerare l'applicazione per questa opportunità. I poteri di finanziamento che permettono all'Eunice Kennedy Shriver National Institute of Child Health and Human Development di prevedere questa opportunità sono come segue: Acta della Salute Pubblica, Sezione 301, 448 e 487, come modificato, Leggi 78-410 e 99-158, come modificato, 42 U.S.C. 241; 42 U.S.C. 285g; 42 U.S.C. 288; Legge di Ricerca e sviluppo del Microbusiness del 1992, Legge 102-564, Legge 118-47.</t>
        </is>
      </c>
      <c r="AB18" s="2" t="inlineStr">
        <is>
          <t>In scadenza (≤30 gg)</t>
        </is>
      </c>
      <c r="AC18" s="5" t="n">
        <v>46312</v>
      </c>
      <c r="AD18" s="5" t="n">
        <v>46312</v>
      </c>
      <c r="AE18" s="2" t="n"/>
    </row>
    <row r="19">
      <c r="A19" s="2" t="inlineStr">
        <is>
          <t>EU-HORIZON-CL3-2026-01-DRS-05</t>
        </is>
      </c>
      <c r="B19" s="2" t="inlineStr">
        <is>
          <t>EU Funding &amp; Tenders Portal</t>
        </is>
      </c>
      <c r="C19" s="2" t="inlineStr">
        <is>
          <t>Horizon Europe – HORIZON Innovation Actions</t>
        </is>
      </c>
      <c r="D19" s="2" t="inlineStr">
        <is>
          <t>Commissione europea</t>
        </is>
      </c>
      <c r="E19" s="3" t="inlineStr">
        <is>
          <t>Climate security and civil preparedness – new ways to develop pre- and post-crisis climate-change related scenarios for a more resilient Europe</t>
        </is>
      </c>
      <c r="F19" s="3" t="inlineStr">
        <is>
          <t>Prevenzione e gestione dei rischi climatici per la sicurezza civile e la preparazione</t>
        </is>
      </c>
      <c r="G19" s="2" t="inlineStr">
        <is>
          <t>Invecchiamento</t>
        </is>
      </c>
      <c r="H19" s="2" t="inlineStr">
        <is>
          <t>older people, disabilit</t>
        </is>
      </c>
      <c r="I19" s="2" t="inlineStr">
        <is>
          <t>Bassa</t>
        </is>
      </c>
      <c r="J19" s="3" t="inlineStr">
        <is>
          <t>Il testo non specifica esplicitamente riabilitazione, ictus, Parkinson, invecchiamento/demenze o tecnologie per la riabilitazione.</t>
        </is>
      </c>
      <c r="K19" s="4" t="n">
        <v>4500000</v>
      </c>
      <c r="L19" s="4" t="n">
        <v>4500000</v>
      </c>
      <c r="M19" s="2" t="inlineStr">
        <is>
          <t>EUR</t>
        </is>
      </c>
      <c r="N19" s="2" t="n">
        <v>1</v>
      </c>
      <c r="O19" s="3" t="inlineStr">
        <is>
          <t>Bassa – 1 progetti finanziabili (stima: tasso storico non disponibile)</t>
        </is>
      </c>
      <c r="P19" s="3" t="inlineStr">
        <is>
          <t>70% per le imprese, 100% per gli enti non profit</t>
        </is>
      </c>
      <c r="Q19" s="5" t="n">
        <v>46331</v>
      </c>
      <c r="R19" s="6">
        <f>IF(Q19="","",Q19-TODAY())</f>
        <v/>
      </c>
      <c r="S19" s="5" t="n">
        <v>46148</v>
      </c>
      <c r="T19" s="2" t="n"/>
      <c r="U19" s="2" t="inlineStr">
        <is>
          <t>Innovazione</t>
        </is>
      </c>
      <c r="V19" s="3" t="n"/>
      <c r="W19" s="3" t="inlineStr">
        <is>
          <t>Consorzio: min. 3 enti indipendenti da 3 paesi UE/associati (regola standard, verificare il topic)</t>
        </is>
      </c>
      <c r="X19" s="2" t="inlineStr">
        <is>
          <t>Stati membri UE e paesi associati (altri paesi secondo le condizioni del topic)</t>
        </is>
      </c>
      <c r="Y19" s="2" t="inlineStr">
        <is>
          <t>Inglese</t>
        </is>
      </c>
      <c r="Z19" s="7" t="inlineStr">
        <is>
          <t>https://ec.europa.eu/info/funding-tenders/opportunities/portal/screen/opportunities/topic-details/HORIZON-CL3-2026-01-DRS-05</t>
        </is>
      </c>
      <c r="AA19" s="3" t="inlineStr">
        <is>
          <t>Il bando riguarda la prevenzione e la gestione dei rischi legati al cambiamento climatico, con particolare attenzione ai rischi per la sicurezza civile e alla preparazione. Obiettivi del progetto includono la sviluppo e la validazione di strumenti avanzati per la previsione dei rischi climatici, la gestione dei disastri e l'adattamento, inclusi strumenti di analisi e valutazione dei rischi, avvisi meteo e previsioni. Il progetto si concentrerà su rischi locali e regionali, con particolare attenzione ai rischi legati al cambiamento climatico come inondazioni, incendi, scivoloni, caldi estesi e altri. Il progetto prenderà in considerazione le regioni esterne dell'UE e le infrastrutture di Rischio Europeo federate per l'Open Science Cloud, Copernicus e Destination Earth.</t>
        </is>
      </c>
      <c r="AB19" s="2" t="inlineStr">
        <is>
          <t>In scadenza (≤30 gg)</t>
        </is>
      </c>
      <c r="AC19" s="5" t="n">
        <v>46312</v>
      </c>
      <c r="AD19" s="5" t="n">
        <v>46312</v>
      </c>
      <c r="AE19" s="2" t="n"/>
    </row>
    <row r="20">
      <c r="A20" s="2" t="inlineStr">
        <is>
          <t>EU-HORIZON-CL3-2026-01-BM-02</t>
        </is>
      </c>
      <c r="B20" s="2" t="inlineStr">
        <is>
          <t>EU Funding &amp; Tenders Portal</t>
        </is>
      </c>
      <c r="C20" s="2" t="inlineStr">
        <is>
          <t>Horizon Europe – HORIZON Innovation Actions</t>
        </is>
      </c>
      <c r="D20" s="2" t="inlineStr">
        <is>
          <t>Commissione europea</t>
        </is>
      </c>
      <c r="E20" s="3" t="inlineStr">
        <is>
          <t>Accessible and available travel facilitation</t>
        </is>
      </c>
      <c r="F20" s="3" t="inlineStr">
        <is>
          <t>Sviluppo e test di soluzioni avanzate per facilitazione di viaggio e attraversamento di confine</t>
        </is>
      </c>
      <c r="G20" s="2" t="inlineStr">
        <is>
          <t>Riabilitazione</t>
        </is>
      </c>
      <c r="H20" s="2" t="inlineStr">
        <is>
          <t>disabilit</t>
        </is>
      </c>
      <c r="I20" s="2" t="inlineStr">
        <is>
          <t>Media</t>
        </is>
      </c>
      <c r="J20" s="3" t="inlineStr">
        <is>
          <t>Il testo non specifica esplicitamente riabilitazione, ictus, Parkinson, invecchiamento/demenze o tecnologie per la riabilitazione</t>
        </is>
      </c>
      <c r="K20" s="4" t="n">
        <v>8000000</v>
      </c>
      <c r="L20" s="4" t="n">
        <v>4000000</v>
      </c>
      <c r="M20" s="2" t="inlineStr">
        <is>
          <t>EUR</t>
        </is>
      </c>
      <c r="N20" s="2" t="n">
        <v>2</v>
      </c>
      <c r="O20" s="3" t="inlineStr">
        <is>
          <t>Bassa – 2 progetti finanziabili (stima: tasso storico non disponibile)</t>
        </is>
      </c>
      <c r="P20" s="3" t="inlineStr">
        <is>
          <t>70% per le imprese, 100% per gli enti non profit</t>
        </is>
      </c>
      <c r="Q20" s="5" t="n">
        <v>46331</v>
      </c>
      <c r="R20" s="6">
        <f>IF(Q20="","",Q20-TODAY())</f>
        <v/>
      </c>
      <c r="S20" s="5" t="n">
        <v>46148</v>
      </c>
      <c r="T20" s="2" t="n"/>
      <c r="U20" s="2" t="inlineStr">
        <is>
          <t>Innovazione</t>
        </is>
      </c>
      <c r="V20" s="3" t="n"/>
      <c r="W20" s="3" t="inlineStr">
        <is>
          <t>Consorzio: min. 3 enti indipendenti da 3 paesi UE/associati (regola standard, verificare il topic)</t>
        </is>
      </c>
      <c r="X20" s="2" t="inlineStr">
        <is>
          <t>Stati membri UE e paesi associati (altri paesi secondo le condizioni del topic)</t>
        </is>
      </c>
      <c r="Y20" s="2" t="inlineStr">
        <is>
          <t>Inglese</t>
        </is>
      </c>
      <c r="Z20" s="7" t="inlineStr">
        <is>
          <t>https://ec.europa.eu/info/funding-tenders/opportunities/portal/screen/opportunities/topic-details/HORIZON-CL3-2026-01-BM-02</t>
        </is>
      </c>
      <c r="AA20" s="3" t="inlineStr">
        <is>
          <t>Il testo riguarda la facilitazione di viaggio e attraversamento di confine, con particolare attenzione a soluzioni avanzate per facilitare il viaggio attraverso i punti di attraversamento del confine (BCP), i procedimenti di vistaggio e sistemi digitali. Il testo non specifica esplicitamente riabilitazione, ictus, Parkinson, invecchiamento/demenze o tecnologie per la riabilitazione. Il testo parla di soluzioni che devono essere inclusive e accessibili per tutti i viaggiatori, minimizzando rischi di discriminazione e digital divide. Il testo parla di soluzioni che possono includere tecnologie innovative, processi innovative, conoscenze innovative o una combinazione di queste. Il testo non specifica esplicitamente tecnologie per la riabilitazione.</t>
        </is>
      </c>
      <c r="AB20" s="2" t="inlineStr">
        <is>
          <t>In scadenza (≤30 gg)</t>
        </is>
      </c>
      <c r="AC20" s="5" t="n">
        <v>46312</v>
      </c>
      <c r="AD20" s="5" t="n">
        <v>46312</v>
      </c>
      <c r="AE20" s="2" t="n"/>
    </row>
    <row r="21">
      <c r="A21" s="2" t="inlineStr">
        <is>
          <t>EU-HORIZON-CL3-2026-01-DRS-03</t>
        </is>
      </c>
      <c r="B21" s="2" t="inlineStr">
        <is>
          <t>EU Funding &amp; Tenders Portal</t>
        </is>
      </c>
      <c r="C21" s="2" t="inlineStr">
        <is>
          <t>Horizon Europe – HORIZON Innovation Actions</t>
        </is>
      </c>
      <c r="D21" s="2" t="inlineStr">
        <is>
          <t>Commissione europea</t>
        </is>
      </c>
      <c r="E21" s="3" t="inlineStr">
        <is>
          <t>Development of innovative tools, processes, equipment and technologies through responses to disasters and emergencies for search and rescue in hazardous conditions</t>
        </is>
      </c>
      <c r="F21" s="3" t="inlineStr">
        <is>
          <t>Risorse innovative per la risposta alle emergenze e all'assistenza alla difesa</t>
        </is>
      </c>
      <c r="G21" s="2" t="inlineStr">
        <is>
          <t>Tecnologie riabilitazione</t>
        </is>
      </c>
      <c r="H21" s="2" t="inlineStr">
        <is>
          <t>robot</t>
        </is>
      </c>
      <c r="I21" s="2" t="inlineStr">
        <is>
          <t>Media</t>
        </is>
      </c>
      <c r="J21" s="3" t="inlineStr">
        <is>
          <t>Il testo non specifica esplicitamente riabilitazione, ictus, Parkinson, invecchiamento/demenze o tecnologie per la riabilitazione</t>
        </is>
      </c>
      <c r="K21" s="4" t="n">
        <v>8000000</v>
      </c>
      <c r="L21" s="4" t="n">
        <v>4000000</v>
      </c>
      <c r="M21" s="2" t="inlineStr">
        <is>
          <t>EUR</t>
        </is>
      </c>
      <c r="N21" s="2" t="n">
        <v>2</v>
      </c>
      <c r="O21" s="3" t="inlineStr">
        <is>
          <t>Bassa – 2 progetti finanziabili (stima: tasso storico non disponibile)</t>
        </is>
      </c>
      <c r="P21" s="3" t="inlineStr">
        <is>
          <t>70% per le imprese, 100% per gli enti non profit</t>
        </is>
      </c>
      <c r="Q21" s="5" t="n">
        <v>46331</v>
      </c>
      <c r="R21" s="6">
        <f>IF(Q21="","",Q21-TODAY())</f>
        <v/>
      </c>
      <c r="S21" s="5" t="n">
        <v>46148</v>
      </c>
      <c r="T21" s="2" t="n"/>
      <c r="U21" s="2" t="inlineStr">
        <is>
          <t>Innovazione</t>
        </is>
      </c>
      <c r="V21" s="3" t="n"/>
      <c r="W21" s="3" t="inlineStr">
        <is>
          <t>Consorzio: min. 3 enti indipendenti da 3 paesi UE/associati (regola standard, verificare il topic)</t>
        </is>
      </c>
      <c r="X21" s="2" t="inlineStr">
        <is>
          <t>Stati membri UE e paesi associati (altri paesi secondo le condizioni del topic)</t>
        </is>
      </c>
      <c r="Y21" s="2" t="inlineStr">
        <is>
          <t>Inglese</t>
        </is>
      </c>
      <c r="Z21" s="7" t="inlineStr">
        <is>
          <t>https://ec.europa.eu/info/funding-tenders/opportunities/portal/screen/opportunities/topic-details/HORIZON-CL3-2026-01-DRS-03</t>
        </is>
      </c>
      <c r="AA21" s="3" t="inlineStr">
        <is>
          <t>Il bando propone lo sviluppo di strumenti, processi, dispositivi e tecnologie innovative per la risposta alle emergenze e all'assistenza alla difesa. Si prevede un'efficace e sicura risposta alle emergenze, con particolare attenzione alle condizioni di emergenza e alle condizioni di rischio elevato. Il bando prevede la coesione tra diversi professionisti per facilitare l'acquisto di mercato. Si prevede anche la collaborazione tra diversi sistemi di comando e controllo, e la validazione delle tecnologie attraverso esercitazioni e simulazioni in situazioni di emergenza. Il bando prevede la coesione con le politiche dell'UE e i migliori standard internazionali.</t>
        </is>
      </c>
      <c r="AB21" s="2" t="inlineStr">
        <is>
          <t>In scadenza (≤30 gg)</t>
        </is>
      </c>
      <c r="AC21" s="5" t="n">
        <v>46312</v>
      </c>
      <c r="AD21" s="5" t="n">
        <v>46312</v>
      </c>
      <c r="AE21" s="2" t="n"/>
    </row>
    <row r="22">
      <c r="A22" s="2" t="inlineStr">
        <is>
          <t>EU-HORIZON-CL3-2026-01-DRS-02</t>
        </is>
      </c>
      <c r="B22" s="2" t="inlineStr">
        <is>
          <t>EU Funding &amp; Tenders Portal</t>
        </is>
      </c>
      <c r="C22" s="2" t="inlineStr">
        <is>
          <t>Horizon Europe – HORIZON Innovation Actions</t>
        </is>
      </c>
      <c r="D22" s="2" t="inlineStr">
        <is>
          <t>Commissione europea</t>
        </is>
      </c>
      <c r="E22" s="3" t="inlineStr">
        <is>
          <t>Multi-hazard approach and cumulative / cascading impacts</t>
        </is>
      </c>
      <c r="F22" s="3" t="inlineStr">
        <is>
          <t>Avanzamento della valutazione multi-hazard e resilienza controdisastri</t>
        </is>
      </c>
      <c r="G22" s="2" t="inlineStr">
        <is>
          <t>Riabilitazione</t>
        </is>
      </c>
      <c r="H22" s="2" t="inlineStr">
        <is>
          <t>disabilit</t>
        </is>
      </c>
      <c r="I22" s="2" t="inlineStr">
        <is>
          <t>Bassa</t>
        </is>
      </c>
      <c r="J22" s="3" t="inlineStr">
        <is>
          <t>Il testo non specifica esplicitamente riabilitazione, ictus, Parkinson, invecchiamento/demenze o tecnologie per la riabilitazione.</t>
        </is>
      </c>
      <c r="K22" s="4" t="n">
        <v>8000000</v>
      </c>
      <c r="L22" s="4" t="n">
        <v>4000000</v>
      </c>
      <c r="M22" s="2" t="inlineStr">
        <is>
          <t>EUR</t>
        </is>
      </c>
      <c r="N22" s="2" t="n">
        <v>2</v>
      </c>
      <c r="O22" s="3" t="inlineStr">
        <is>
          <t>Bassa – 2 progetti finanziabili (stima: tasso storico non disponibile)</t>
        </is>
      </c>
      <c r="P22" s="3" t="inlineStr">
        <is>
          <t>70% per le imprese, 100% per gli enti non profit</t>
        </is>
      </c>
      <c r="Q22" s="5" t="n">
        <v>46331</v>
      </c>
      <c r="R22" s="6">
        <f>IF(Q22="","",Q22-TODAY())</f>
        <v/>
      </c>
      <c r="S22" s="5" t="n">
        <v>46148</v>
      </c>
      <c r="T22" s="2" t="n"/>
      <c r="U22" s="2" t="inlineStr">
        <is>
          <t>Innovazione</t>
        </is>
      </c>
      <c r="V22" s="3" t="n"/>
      <c r="W22" s="3" t="inlineStr">
        <is>
          <t>Consorzio: min. 3 enti indipendenti da 3 paesi UE/associati (regola standard, verificare il topic)</t>
        </is>
      </c>
      <c r="X22" s="2" t="inlineStr">
        <is>
          <t>Stati membri UE e paesi associati (altri paesi secondo le condizioni del topic)</t>
        </is>
      </c>
      <c r="Y22" s="2" t="inlineStr">
        <is>
          <t>Inglese</t>
        </is>
      </c>
      <c r="Z22" s="7" t="inlineStr">
        <is>
          <t>https://ec.europa.eu/info/funding-tenders/opportunities/portal/screen/opportunities/topic-details/HORIZON-CL3-2026-01-DRS-02</t>
        </is>
      </c>
      <c r="AA22" s="3" t="inlineStr">
        <is>
          <t>Il bando riguarda la valutazione e la resilienza controdisastri, con particolare attenzione alla risposta alle emergenze e all'analisi dei rischi meteorologici, geofisici e tecnologici. I progetti dovrebbero sviluppare e validare modelli di previsione integrati, che migliorino la previsione e la gestione di scenari multi-hazard, supportando la flessibilità e l'estendibilità e la coordinazione delle risposte. I progetti dovrebbero considerare le interazioni tra i diversi tipi di rischio e i loro effetti complessivi. Il bando non specifica esplicitamente riabilitazione, ictus, Parkinson, invecchiamento/demenze o tecnologie per la riabilitazione.</t>
        </is>
      </c>
      <c r="AB22" s="2" t="inlineStr">
        <is>
          <t>In scadenza (≤30 gg)</t>
        </is>
      </c>
      <c r="AC22" s="5" t="n">
        <v>46312</v>
      </c>
      <c r="AD22" s="5" t="n">
        <v>46312</v>
      </c>
      <c r="AE22" s="2" t="n"/>
    </row>
    <row r="23">
      <c r="A23" s="2" t="inlineStr">
        <is>
          <t>EU-HORIZON-CL3-2026-01-DRS-01</t>
        </is>
      </c>
      <c r="B23" s="2" t="inlineStr">
        <is>
          <t>EU Funding &amp; Tenders Portal</t>
        </is>
      </c>
      <c r="C23" s="2" t="inlineStr">
        <is>
          <t>Horizon Europe – HORIZON  Research and Innovation Actions</t>
        </is>
      </c>
      <c r="D23" s="2" t="inlineStr">
        <is>
          <t>Commissione europea</t>
        </is>
      </c>
      <c r="E23" s="3" t="inlineStr">
        <is>
          <t>Designing new ways of risk awareness and enhanced disaster preparedness</t>
        </is>
      </c>
      <c r="F23" s="3" t="inlineStr">
        <is>
          <t>Risorse innovative per la preparazione e la gestione delle emergenze</t>
        </is>
      </c>
      <c r="G23" s="2" t="inlineStr">
        <is>
          <t>Riabilitazione</t>
        </is>
      </c>
      <c r="H23" s="2" t="inlineStr">
        <is>
          <t>disabilit</t>
        </is>
      </c>
      <c r="I23" s="2" t="inlineStr">
        <is>
          <t>Bassa</t>
        </is>
      </c>
      <c r="J23" s="3" t="inlineStr">
        <is>
          <t>Il testo non specifica esplicitamente riabilitazione, ictus, Parkinson, invecchiamento/demenze o tecnologie per la riabilitazione.</t>
        </is>
      </c>
      <c r="K23" s="4" t="n">
        <v>6000000</v>
      </c>
      <c r="L23" s="4" t="n">
        <v>3000000</v>
      </c>
      <c r="M23" s="2" t="inlineStr">
        <is>
          <t>EUR</t>
        </is>
      </c>
      <c r="N23" s="2" t="n">
        <v>2</v>
      </c>
      <c r="O23" s="3" t="inlineStr">
        <is>
          <t>Bassa – 2 progetti finanziabili (stima: tasso storico non disponibile)</t>
        </is>
      </c>
      <c r="P23" s="3" t="inlineStr">
        <is>
          <t>100% – finanziato per intero</t>
        </is>
      </c>
      <c r="Q23" s="5" t="n">
        <v>46331</v>
      </c>
      <c r="R23" s="6">
        <f>IF(Q23="","",Q23-TODAY())</f>
        <v/>
      </c>
      <c r="S23" s="5" t="n">
        <v>46148</v>
      </c>
      <c r="T23" s="2" t="n"/>
      <c r="U23" s="2" t="inlineStr">
        <is>
          <t>Ricerca</t>
        </is>
      </c>
      <c r="V23" s="3" t="n"/>
      <c r="W23" s="3" t="inlineStr">
        <is>
          <t>Consorzio: min. 3 enti indipendenti da 3 paesi UE/associati (regola standard, verificare il topic)</t>
        </is>
      </c>
      <c r="X23" s="2" t="inlineStr">
        <is>
          <t>Stati membri UE e paesi associati (altri paesi secondo le condizioni del topic)</t>
        </is>
      </c>
      <c r="Y23" s="2" t="inlineStr">
        <is>
          <t>Inglese</t>
        </is>
      </c>
      <c r="Z23" s="7" t="inlineStr">
        <is>
          <t>https://ec.europa.eu/info/funding-tenders/opportunities/portal/screen/opportunities/topic-details/HORIZON-CL3-2026-01-DRS-01</t>
        </is>
      </c>
      <c r="AA23" s="3" t="inlineStr">
        <is>
          <t>Il bando mira alla sviluppo di strumenti e metodologie innovative per migliorare la consapevolezza rischio e la preparazione alle emergenze, con particolare attenzione alla partecipazione inclusiva e alla collaborazione tra diversi settori. Non c'è menzione di riabilitazione, ictus, Parkinson, invecchiamento/demenze o tecnologie per la riabilitazione.</t>
        </is>
      </c>
      <c r="AB23" s="2" t="inlineStr">
        <is>
          <t>In scadenza (≤30 gg)</t>
        </is>
      </c>
      <c r="AC23" s="5" t="n">
        <v>46312</v>
      </c>
      <c r="AD23" s="5" t="n">
        <v>46312</v>
      </c>
      <c r="AE23" s="2" t="n"/>
    </row>
    <row r="24">
      <c r="A24" s="2" t="inlineStr">
        <is>
          <t>EU-HORIZON-CL3-2026-01-FCT-03</t>
        </is>
      </c>
      <c r="B24" s="2" t="inlineStr">
        <is>
          <t>EU Funding &amp; Tenders Portal</t>
        </is>
      </c>
      <c r="C24" s="2" t="inlineStr">
        <is>
          <t>Horizon Europe – HORIZON Innovation Actions</t>
        </is>
      </c>
      <c r="D24" s="2" t="inlineStr">
        <is>
          <t>Commissione europea</t>
        </is>
      </c>
      <c r="E24" s="3" t="inlineStr">
        <is>
          <t>Missing persons: prevention and investigation</t>
        </is>
      </c>
      <c r="F24" s="3" t="inlineStr">
        <is>
          <t>Prevenzione e indagini sui scompigliati</t>
        </is>
      </c>
      <c r="G24" s="2" t="inlineStr">
        <is>
          <t>Invecchiamento</t>
        </is>
      </c>
      <c r="H24" s="2" t="inlineStr">
        <is>
          <t>cognitive impairment, ageing, persons with disabilities</t>
        </is>
      </c>
      <c r="I24" s="2" t="inlineStr">
        <is>
          <t>Media</t>
        </is>
      </c>
      <c r="J24" s="3" t="inlineStr">
        <is>
          <t>Il testo non specifica esplicitamente riabilitazione, ictus, Parkinson, invecchiamento/demenze o tecnologie per la riabilitazione</t>
        </is>
      </c>
      <c r="K24" s="4" t="n">
        <v>5000000</v>
      </c>
      <c r="L24" s="4" t="n">
        <v>5000000</v>
      </c>
      <c r="M24" s="2" t="inlineStr">
        <is>
          <t>EUR</t>
        </is>
      </c>
      <c r="N24" s="2" t="n">
        <v>1</v>
      </c>
      <c r="O24" s="3" t="inlineStr">
        <is>
          <t>Bassa – 1 progetti finanziabili (stima: tasso storico non disponibile)</t>
        </is>
      </c>
      <c r="P24" s="3" t="inlineStr">
        <is>
          <t>70% per le imprese, 100% per gli enti non profit</t>
        </is>
      </c>
      <c r="Q24" s="5" t="n">
        <v>46331</v>
      </c>
      <c r="R24" s="6">
        <f>IF(Q24="","",Q24-TODAY())</f>
        <v/>
      </c>
      <c r="S24" s="5" t="n">
        <v>46148</v>
      </c>
      <c r="T24" s="2" t="n"/>
      <c r="U24" s="2" t="inlineStr">
        <is>
          <t>Innovazione</t>
        </is>
      </c>
      <c r="V24" s="3" t="n"/>
      <c r="W24" s="3" t="inlineStr">
        <is>
          <t>Consorzio: min. 3 enti indipendenti da 3 paesi UE/associati (regola standard, verificare il topic)</t>
        </is>
      </c>
      <c r="X24" s="2" t="inlineStr">
        <is>
          <t>Stati membri UE e paesi associati (altri paesi secondo le condizioni del topic)</t>
        </is>
      </c>
      <c r="Y24" s="2" t="inlineStr">
        <is>
          <t>Inglese</t>
        </is>
      </c>
      <c r="Z24" s="7" t="inlineStr">
        <is>
          <t>https://ec.europa.eu/info/funding-tenders/opportunities/portal/screen/opportunities/topic-details/HORIZON-CL3-2026-01-FCT-03</t>
        </is>
      </c>
      <c r="AA24" s="3" t="inlineStr">
        <is>
          <t>Il bando mira a migliorare i corsi e i curriculum per le autorità polizze europee e le ONG per lavorare con gruppi vulnerabili per prevenire la scomparsa. Si prevede anche un miglioramento degli strumenti e delle metodologie per indagare i casi freddi e nuovi di scomparsa. Il bando non specifica esplicitamente riabilitazione, ictus, Parkinson, invecchiamento/demenze o tecnologie per la riabilitazione.</t>
        </is>
      </c>
      <c r="AB24" s="2" t="inlineStr">
        <is>
          <t>In scadenza (≤30 gg)</t>
        </is>
      </c>
      <c r="AC24" s="5" t="n">
        <v>46312</v>
      </c>
      <c r="AD24" s="5" t="n">
        <v>46312</v>
      </c>
      <c r="AE24" s="2" t="n"/>
    </row>
    <row r="25">
      <c r="A25" s="2" t="inlineStr">
        <is>
          <t>GG-RFA-NS-26-034</t>
        </is>
      </c>
      <c r="B25" s="2" t="inlineStr">
        <is>
          <t>Grants.gov</t>
        </is>
      </c>
      <c r="C25" s="2" t="inlineStr">
        <is>
          <t>National Institutes of Health – RFA-NS-26-034</t>
        </is>
      </c>
      <c r="D25" s="2" t="inlineStr">
        <is>
          <t>National Institutes of Health</t>
        </is>
      </c>
      <c r="E25" s="3" t="inlineStr">
        <is>
          <t>Functional Target Validation for Alzheimer's Disease-Related Dementias</t>
        </is>
      </c>
      <c r="F25" s="3" t="inlineStr">
        <is>
          <t>Validazione Funzionale delle Cifre Terapeutiche per la Demenza Relativa a Alzheimer</t>
        </is>
      </c>
      <c r="G25" s="2" t="inlineStr">
        <is>
          <t>Ictus, Invecchiamento</t>
        </is>
      </c>
      <c r="H25" s="2" t="inlineStr">
        <is>
          <t>stroke, dementi, alzheimer</t>
        </is>
      </c>
      <c r="I25" s="2" t="inlineStr">
        <is>
          <t>Media</t>
        </is>
      </c>
      <c r="J25" s="3" t="inlineStr">
        <is>
          <t>Il testo non specifica esplicitamente riabilitazione, ictus, Parkinson, invecchiamento/demenze o tecnologie per la riabilitazione.</t>
        </is>
      </c>
      <c r="K25" s="4" t="n">
        <v>1800000</v>
      </c>
      <c r="L25" s="4" t="n"/>
      <c r="M25" s="2" t="inlineStr">
        <is>
          <t>USD</t>
        </is>
      </c>
      <c r="N25" s="2" t="n">
        <v>2</v>
      </c>
      <c r="O25" s="3" t="inlineStr">
        <is>
          <t>Bassa – 2 progetti finanziabili (stima: tasso storico non disponibile)</t>
        </is>
      </c>
      <c r="P25" s="3" t="inlineStr">
        <is>
          <t>100% – nessun cost sharing richiesto</t>
        </is>
      </c>
      <c r="Q25" s="5" t="n">
        <v>46332</v>
      </c>
      <c r="R25" s="6">
        <f>IF(Q25="","",Q25-TODAY())</f>
        <v/>
      </c>
      <c r="S25" s="5" t="n">
        <v>46092</v>
      </c>
      <c r="T25" s="2" t="n"/>
      <c r="U25" s="2" t="inlineStr">
        <is>
          <t>Ricerca</t>
        </is>
      </c>
      <c r="V25" s="3" t="inlineStr">
        <is>
          <t>County governments; Public housing authorities/Indian housing authorities; Native American tribal organizations (other than Federally recognized tribal governments); Others (see text field entitled "Additional Information on Eligibility" for clarification); Native American tribal governments (Federally recognized); Private institutions of higher education; State governments; City or township gover</t>
        </is>
      </c>
      <c r="W25" s="3" t="n"/>
      <c r="X25" s="2" t="inlineStr">
        <is>
          <t>Solo enti statunitensi (salvo diversa indicazione)</t>
        </is>
      </c>
      <c r="Y25" s="2" t="inlineStr">
        <is>
          <t>Inglese</t>
        </is>
      </c>
      <c r="Z25" s="7" t="inlineStr">
        <is>
          <t>https://www.grants.gov/search-results-detail/361450</t>
        </is>
      </c>
      <c r="AA25" s="3" t="inlineStr">
        <is>
          <t>Il National Institute of Neurological Disorders and Stroke (NINDS) sta cercando di supportare progetti di ricerca ambiziosi che proppongono una validazione funzionale approfondita di candidati terapeutici nuovamente identificati per la demenza relativa a Alzheimer (DRA). Un ostacolo principale alla sviluppo di trattamenti efficaci per la DRA, come per altre patologie del sistema nervoso centrale complesse, è la mancanza di target ben validati che siano chiaramente legati alle meccaniche della malattia. La traduzione di scoperte fondamentali nel campo della medicina dipende dalla rigorosità della validazione del target e dalla fiducia in una relazione causalità tra la modulazione di un target e le sue conseguenze funzionali sulla salute. Questa iniziativa mira a ridurre il rischio di ulteriori ricerche di trasferimento e a accelerare lo sviluppo di strategie terapeutiche innovative. NINDS crede che questa iniziativa sarebbe più appropriata per essere supportata da un meccanismo di assegnamento a fasi (ad esempio, R61/R33). Nella fase iniziale, si fornirebbe supporto per lo sviluppo di tecnologie, modelli e protocolli personalizzati per modulare l'espressione o l'attività di candidati target e per valutarne le conseguenze funzionali in modelli di malattia in vitro e in vivo. Una volta raggiunti i criteri di validità tecnica e di dimostrazione conceptuale definiti, i progetti passerebbero alla seconda fase, focalizzata sulla misurazione e la validazione transversale delle conseguenze della modulazione del target in modelli di esperimento diversi e in laboratori collaborativi, in conformità alle linee guida di rigor e di riproducibilità dell'NIH. Non si richiedono applicazioni in questo momento. Si è fornito avviso per permettere a potenziali applicanti di avere sufficiente tempo per sviluppare progetti rispondenti e stabilire collaborazioni di discipline cross.</t>
        </is>
      </c>
      <c r="AB25" s="2" t="inlineStr">
        <is>
          <t>In scadenza (≤30 gg)</t>
        </is>
      </c>
      <c r="AC25" s="5" t="n">
        <v>46312</v>
      </c>
      <c r="AD25" s="5" t="n">
        <v>46312</v>
      </c>
      <c r="AE25" s="2" t="n"/>
    </row>
    <row r="26">
      <c r="A26" s="2" t="inlineStr">
        <is>
          <t>GG-HT942526PRPIIRA</t>
        </is>
      </c>
      <c r="B26" s="2" t="inlineStr">
        <is>
          <t>Grants.gov</t>
        </is>
      </c>
      <c r="C26" s="2" t="inlineStr">
        <is>
          <t>Defense Health Agency Contracting Activity - DHACA – HT942526PRPIIRA</t>
        </is>
      </c>
      <c r="D26" s="2" t="inlineStr">
        <is>
          <t>Defense Health Agency Contracting Activity - DHACA</t>
        </is>
      </c>
      <c r="E26" s="3" t="inlineStr">
        <is>
          <t>DoW Parkinson&amp;rsquo;s, Investigator-Initiated Research Award</t>
        </is>
      </c>
      <c r="F26" s="3" t="inlineStr">
        <is>
          <t>Award di Ricerca Investigatore Iniziativo Parkinson&amp;rsquo;s</t>
        </is>
      </c>
      <c r="G26" s="2" t="inlineStr">
        <is>
          <t>Parkinson</t>
        </is>
      </c>
      <c r="H26" s="2" t="inlineStr">
        <is>
          <t>parkinson</t>
        </is>
      </c>
      <c r="I26" s="2" t="inlineStr">
        <is>
          <t>Media</t>
        </is>
      </c>
      <c r="J26" s="3" t="inlineStr">
        <is>
          <t>Il testo non specifica esplicitamente riabilitazione, Parkinson, ictus, invecchiamento/demenze o tecnologie per la riabilitazione.</t>
        </is>
      </c>
      <c r="K26" s="4" t="n">
        <v>10000000</v>
      </c>
      <c r="L26" s="4" t="n"/>
      <c r="M26" s="2" t="inlineStr">
        <is>
          <t>USD</t>
        </is>
      </c>
      <c r="N26" s="2" t="n">
        <v>5</v>
      </c>
      <c r="O26" s="3" t="inlineStr">
        <is>
          <t>Media – 5 progetti finanziabili (stima: tasso storico non disponibile)</t>
        </is>
      </c>
      <c r="P26" s="3" t="inlineStr">
        <is>
          <t>100% – nessun cost sharing richiesto</t>
        </is>
      </c>
      <c r="Q26" s="5" t="n">
        <v>46332</v>
      </c>
      <c r="R26" s="6">
        <f>IF(Q26="","",Q26-TODAY())</f>
        <v/>
      </c>
      <c r="S26" s="5" t="n">
        <v>46191</v>
      </c>
      <c r="T26" s="2" t="n"/>
      <c r="U26" s="2" t="inlineStr">
        <is>
          <t>Ricerca</t>
        </is>
      </c>
      <c r="V26" s="3" t="inlineStr">
        <is>
          <t>Unrestricted (i.e., open to any type of entity above), subject to any clarification in text field entitled "Additional Information on Eligibility"</t>
        </is>
      </c>
      <c r="W26" s="3" t="inlineStr">
        <is>
          <t xml:space="preserve">L'opzione di Principale Investigatore Associato consente di avere più di un Principale Investigatore. Uno di essi sarà identificato come Principale Investigatore Iniziativo e sarà responsabile per la maggior parte delle attività amministrative associate alla presentazione dell'applicazione. L'altro </t>
        </is>
      </c>
      <c r="X26" s="2" t="inlineStr">
        <is>
          <t>Solo enti statunitensi (salvo diversa indicazione)</t>
        </is>
      </c>
      <c r="Y26" s="2" t="inlineStr">
        <is>
          <t>Inglese</t>
        </is>
      </c>
      <c r="Z26" s="7" t="inlineStr">
        <is>
          <t>https://www.grants.gov/search-results-detail/362868</t>
        </is>
      </c>
      <c r="AA26" s="3" t="inlineStr">
        <is>
          <t>Il programma di Ricerca Investigatore Iniziativo Parkinson&amp;rsquo;s (IIRA) del Programma di Ricerca Parkinson (PRP) del Fiscal Year 2026 (FY26) supporta progetti di ricerca multidisciplinari e di alto livello che possano contribuire significativamente alla ricerca sulla malattia di Parkinson. La ricerca deve affrontare almeno uno dei quattro Focus Area del PRP per l'anno 2026. Caratteristiche Distinte: L'opzione di Principale Investigatore Associato consente di avere più di un Principale Investigatore. Uno di essi sarà identificato come Principale Investigatore Iniziativo e sarà responsabile per la maggior parte delle attività amministrative associate alla presentazione dell'applicazione. L'altro o gli altri Principali Investigatori associati saranno identificati come Associati di Ricerca.</t>
        </is>
      </c>
      <c r="AB26" s="2" t="inlineStr">
        <is>
          <t>In scadenza (≤30 gg)</t>
        </is>
      </c>
      <c r="AC26" s="5" t="n">
        <v>46312</v>
      </c>
      <c r="AD26" s="5" t="n">
        <v>46312</v>
      </c>
      <c r="AE26" s="2" t="n"/>
    </row>
    <row r="27">
      <c r="A27" s="2" t="inlineStr">
        <is>
          <t>GG-HT942526PRPEIRA</t>
        </is>
      </c>
      <c r="B27" s="2" t="inlineStr">
        <is>
          <t>Grants.gov</t>
        </is>
      </c>
      <c r="C27" s="2" t="inlineStr">
        <is>
          <t>Defense Health Agency Contracting Activity - DHACA – HT942526PRPEIRA</t>
        </is>
      </c>
      <c r="D27" s="2" t="inlineStr">
        <is>
          <t>Defense Health Agency Contracting Activity - DHACA</t>
        </is>
      </c>
      <c r="E27" s="3" t="inlineStr">
        <is>
          <t>DoW Parkinson&amp;rsquo;s, Early Investigator Research Award</t>
        </is>
      </c>
      <c r="F27" s="3" t="inlineStr">
        <is>
          <t>Award per Investigatori in Inizio di Carriera per la Sclerosi Multiplaura</t>
        </is>
      </c>
      <c r="G27" s="2" t="inlineStr">
        <is>
          <t>Parkinson</t>
        </is>
      </c>
      <c r="H27" s="2" t="inlineStr">
        <is>
          <t>parkinson</t>
        </is>
      </c>
      <c r="I27" s="2" t="inlineStr">
        <is>
          <t>Media</t>
        </is>
      </c>
      <c r="J27" s="3" t="inlineStr">
        <is>
          <t>Il testo non specifica esplicitamente riabilitazione, ictus, Parkinson, invecchiamento/demenze o tecnologie per la riabilitazione.</t>
        </is>
      </c>
      <c r="K27" s="4" t="n">
        <v>4200000</v>
      </c>
      <c r="L27" s="4" t="n"/>
      <c r="M27" s="2" t="inlineStr">
        <is>
          <t>USD</t>
        </is>
      </c>
      <c r="N27" s="2" t="n">
        <v>7</v>
      </c>
      <c r="O27" s="3" t="inlineStr">
        <is>
          <t>Media – 7 progetti finanziabili (stima: tasso storico non disponibile)</t>
        </is>
      </c>
      <c r="P27" s="3" t="inlineStr">
        <is>
          <t>100% – nessun cost sharing richiesto</t>
        </is>
      </c>
      <c r="Q27" s="5" t="n">
        <v>46332</v>
      </c>
      <c r="R27" s="6">
        <f>IF(Q27="","",Q27-TODAY())</f>
        <v/>
      </c>
      <c r="S27" s="5" t="n">
        <v>46191</v>
      </c>
      <c r="T27" s="2" t="n"/>
      <c r="U27" s="2" t="inlineStr">
        <is>
          <t>Ricerca</t>
        </is>
      </c>
      <c r="V27" s="3" t="inlineStr">
        <is>
          <t>Unrestricted (i.e., open to any type of entity above), subject to any clarification in text field entitled "Additional Information on Eligibility"</t>
        </is>
      </c>
      <c r="W27" s="3" t="n"/>
      <c r="X27" s="2" t="inlineStr">
        <is>
          <t>Solo enti statunitensi (salvo diversa indicazione)</t>
        </is>
      </c>
      <c r="Y27" s="2" t="inlineStr">
        <is>
          <t>Inglese</t>
        </is>
      </c>
      <c r="Z27" s="7" t="inlineStr">
        <is>
          <t>https://www.grants.gov/search-results-detail/362866</t>
        </is>
      </c>
      <c r="AA27" s="3" t="inlineStr">
        <is>
          <t>Il programma di Ricerca per la Sclerosi Multiplaura (PRP) per Investigatori in Inizio di Carriera (EIRA) del 2026 supporta i ricercatori in età precoce. Il 2026 EIRA offre due livelli di finanziamento, in linea con il livello di esperienza del principale investigatore (PI). La ricerca proposta deve rispondere a almeno uno dei quattro Focus Area del 2026 PRP. Il 2026 EIRA non permette i campi di studio clinici.</t>
        </is>
      </c>
      <c r="AB27" s="2" t="inlineStr">
        <is>
          <t>In scadenza (≤30 gg)</t>
        </is>
      </c>
      <c r="AC27" s="5" t="n">
        <v>46312</v>
      </c>
      <c r="AD27" s="5" t="n">
        <v>46312</v>
      </c>
      <c r="AE27" s="2" t="n"/>
    </row>
    <row r="28">
      <c r="A28" s="2" t="inlineStr">
        <is>
          <t>GG-RFA-NS-26-030</t>
        </is>
      </c>
      <c r="B28" s="2" t="inlineStr">
        <is>
          <t>Grants.gov</t>
        </is>
      </c>
      <c r="C28" s="2" t="inlineStr">
        <is>
          <t>National Institutes of Health – RFA-NS-26-030</t>
        </is>
      </c>
      <c r="D28" s="2" t="inlineStr">
        <is>
          <t>National Institutes of Health</t>
        </is>
      </c>
      <c r="E28" s="3" t="inlineStr">
        <is>
          <t>Genomic and Biologic Therapies for ADRD (U01 Clinical Trial Optional)</t>
        </is>
      </c>
      <c r="F28" s="3" t="inlineStr">
        <is>
          <t>Genomic and Biologic Therapies for ADRD (U01)</t>
        </is>
      </c>
      <c r="G28" s="2" t="inlineStr">
        <is>
          <t>Ictus, Invecchiamento</t>
        </is>
      </c>
      <c r="H28" s="2" t="inlineStr">
        <is>
          <t>stroke, dementi, alzheimer, cognitive impairment</t>
        </is>
      </c>
      <c r="I28" s="2" t="inlineStr">
        <is>
          <t>Media</t>
        </is>
      </c>
      <c r="J28" s="3" t="inlineStr">
        <is>
          <t>Il testo non specifica esplicitamente riabilitazione, ictus, Parkinson, invecchiamento/demenze o tecnologie per la riabilitazione.</t>
        </is>
      </c>
      <c r="K28" s="4" t="n">
        <v>6000000</v>
      </c>
      <c r="L28" s="4" t="n"/>
      <c r="M28" s="2" t="inlineStr">
        <is>
          <t>USD</t>
        </is>
      </c>
      <c r="N28" s="2" t="n">
        <v>3</v>
      </c>
      <c r="O28" s="3" t="inlineStr">
        <is>
          <t>Bassa – 3 progetti finanziabili (stima: tasso storico non disponibile)</t>
        </is>
      </c>
      <c r="P28" s="3" t="inlineStr">
        <is>
          <t>100% – nessun cost sharing richiesto</t>
        </is>
      </c>
      <c r="Q28" s="5" t="n">
        <v>46336</v>
      </c>
      <c r="R28" s="6">
        <f>IF(Q28="","",Q28-TODAY())</f>
        <v/>
      </c>
      <c r="S28" s="5" t="n">
        <v>46065</v>
      </c>
      <c r="T28" s="2" t="n"/>
      <c r="U28" s="2" t="inlineStr">
        <is>
          <t>Ricerca</t>
        </is>
      </c>
      <c r="V28" s="3" t="inlineStr">
        <is>
          <t>Native American tribal governments (Federally recognized); Special district governments; Public housing authorities/Indian housing authorities; City or township governments; Others (see text field entitled "Additional Information on Eligibility" for clarification); Public and State controlled institutions of higher education; State governments; For profit organizations other than small businesses;</t>
        </is>
      </c>
      <c r="W28" s="3" t="n"/>
      <c r="X28" s="2" t="inlineStr">
        <is>
          <t>Solo enti statunitensi (salvo diversa indicazione)</t>
        </is>
      </c>
      <c r="Y28" s="2" t="inlineStr">
        <is>
          <t>Inglese</t>
        </is>
      </c>
      <c r="Z28" s="7" t="inlineStr">
        <is>
          <t>https://www.grants.gov/search-results-detail/361287</t>
        </is>
      </c>
      <c r="AA28" s="3" t="inlineStr">
        <is>
          <t>Il programma della National Institutes of Health (NIH) sta cercando progetti di ricerca che siano interessati all'ottimizzazione e alla traslazionalizzazione del sviluppo di candidati terapeutici genetici e biologici per la demenza associata all'Alzheimer (ADR). Il programma mira a supportare progetti che includono attività per migliorare la progettazione terapeutica e la producibilità, stabilire la farmacologia, la toxicologia, la biodistribuzione e l'efficacia in vivo, e generare i dati necessari per le interazioni regolamentari e le richieste di Istituto di Trasformazione (IND).</t>
        </is>
      </c>
      <c r="AB28" s="2" t="inlineStr">
        <is>
          <t>In scadenza (≤30 gg)</t>
        </is>
      </c>
      <c r="AC28" s="5" t="n">
        <v>46312</v>
      </c>
      <c r="AD28" s="5" t="n">
        <v>46312</v>
      </c>
      <c r="AE28" s="2" t="n"/>
    </row>
    <row r="29">
      <c r="A29" s="2" t="inlineStr">
        <is>
          <t>GG-PAR-27-007</t>
        </is>
      </c>
      <c r="B29" s="2" t="inlineStr">
        <is>
          <t>Grants.gov</t>
        </is>
      </c>
      <c r="C29" s="2" t="inlineStr">
        <is>
          <t>National Institutes of Health – PAR-27-007</t>
        </is>
      </c>
      <c r="D29" s="2" t="inlineStr">
        <is>
          <t>National Institutes of Health</t>
        </is>
      </c>
      <c r="E29" s="3" t="inlineStr">
        <is>
          <t>Clinical Trials and Ancillary Studies Conducted within NIH-Funded Clinical Trial Research Networks (UG3/UH3 - Clinical Trial Required)</t>
        </is>
      </c>
      <c r="F29" s="3" t="inlineStr">
        <is>
          <t>Clinical Trials e Studi Ancillari condotti all'interno dei Rete di Ricerche Cliniche Fondee dall'NIH (UG3/UH3 - Ricerche Cliniche Richieste)</t>
        </is>
      </c>
      <c r="G29" s="2" t="inlineStr">
        <is>
          <t>Ictus</t>
        </is>
      </c>
      <c r="H29" s="2" t="inlineStr">
        <is>
          <t>stroke</t>
        </is>
      </c>
      <c r="I29" s="2" t="inlineStr">
        <is>
          <t>Media</t>
        </is>
      </c>
      <c r="J29" s="3" t="inlineStr">
        <is>
          <t>Il testo non specifica esplicitamente riabilitazione, ictus, Parkinson, invecchiamento/demenze o tecnologie per la riabilitazione.</t>
        </is>
      </c>
      <c r="K29" s="4" t="n"/>
      <c r="L29" s="4" t="n"/>
      <c r="M29" s="2" t="inlineStr">
        <is>
          <t>USD</t>
        </is>
      </c>
      <c r="N29" s="2" t="n"/>
      <c r="O29" s="3" t="inlineStr">
        <is>
          <t>Non stimabile – dati insufficienti</t>
        </is>
      </c>
      <c r="P29" s="3" t="inlineStr">
        <is>
          <t>100% – nessun cost sharing richiesto</t>
        </is>
      </c>
      <c r="Q29" s="5" t="n">
        <v>46336</v>
      </c>
      <c r="R29" s="6">
        <f>IF(Q29="","",Q29-TODAY())</f>
        <v/>
      </c>
      <c r="S29" s="5" t="n">
        <v>46097</v>
      </c>
      <c r="T29" s="2" t="n"/>
      <c r="U29" s="2" t="inlineStr">
        <is>
          <t>Ricerca</t>
        </is>
      </c>
      <c r="V29" s="3" t="inlineStr">
        <is>
          <t>For profit organizations other than small businesses; Private institutions of higher education; Nonprofits having a 501(c)(3) status with the IRS, other than institutions of higher education; City or township governments; State governments; Others (see text field entitled "Additional Information on Eligibility" for clarification); Public housing authorities/Indian housing authorities; Nonprofits t</t>
        </is>
      </c>
      <c r="W29" s="3" t="n"/>
      <c r="X29" s="2" t="inlineStr">
        <is>
          <t>Solo enti statunitensi (salvo diversa indicazione)</t>
        </is>
      </c>
      <c r="Y29" s="2" t="inlineStr">
        <is>
          <t>Inglese</t>
        </is>
      </c>
      <c r="Z29" s="7" t="inlineStr">
        <is>
          <t>https://www.grants.gov/search-results-detail/361522</t>
        </is>
      </c>
      <c r="AA29" s="3" t="inlineStr">
        <is>
          <t>Il programma propone appelli per progetti che includono studi clinici e studi ancillari condotti all'interno di Rete di Ricerche Cliniche Fondee dall'NIH. Il programma incoraggia le applicazioni per studi multi-centri condotti all'interno di una rete clinica fondea da un'istituto o centro dell'NIH. Successivamente, l'IC prioritizzerà i studi condotti all'interno della rete fondea. Il programma utilizza l'attività di collaborazione UG3/UH3 basata su milestone. I primi premi copriranno fino a 2 anni di pianificazione e inizializzazione, con la possibilità di passare a un'etapa di implementazione (UH3) fino a 5 anni aggiuntivi. Non sono attualmente richieste applicazioni. Si fornisce notizia per permettere a potenziali applicatori di sviluppare collaborazioni significative e progetti rispondenti. Per ulteriori informazioni, i potenziali applicatori sono incoraggiati a contattare i staff del programma elencati.</t>
        </is>
      </c>
      <c r="AB29" s="2" t="inlineStr">
        <is>
          <t>In scadenza (≤30 gg)</t>
        </is>
      </c>
      <c r="AC29" s="5" t="n">
        <v>46312</v>
      </c>
      <c r="AD29" s="5" t="n">
        <v>46312</v>
      </c>
      <c r="AE29" s="2" t="n"/>
    </row>
    <row r="30">
      <c r="A30" s="2" t="inlineStr">
        <is>
          <t>GG-RFA-AG-27-010</t>
        </is>
      </c>
      <c r="B30" s="2" t="inlineStr">
        <is>
          <t>Grants.gov</t>
        </is>
      </c>
      <c r="C30" s="2" t="inlineStr">
        <is>
          <t>National Institutes of Health – RFA-AG-27-010</t>
        </is>
      </c>
      <c r="D30" s="2" t="inlineStr">
        <is>
          <t>National Institutes of Health</t>
        </is>
      </c>
      <c r="E30" s="3" t="inlineStr">
        <is>
          <t>Data Coordinating Center for the Aging and Alzheimer&amp;rsquo;s Disease Mouse Brain Atlas (AD-MBA) (U24 Clinical Trial Not Allowed)</t>
        </is>
      </c>
      <c r="F30" s="3" t="inlineStr">
        <is>
          <t>Data Coordinatore Centrale per Atlas di Testa di Mice per l'Aging e la Demenza di Alzheimer (AD-MBA) (U24 Concorsi senza Prova Clinica)</t>
        </is>
      </c>
      <c r="G30" s="2" t="inlineStr">
        <is>
          <t>Invecchiamento</t>
        </is>
      </c>
      <c r="H30" s="2" t="inlineStr">
        <is>
          <t>alzheimer, aging</t>
        </is>
      </c>
      <c r="I30" s="2" t="inlineStr">
        <is>
          <t>Bassa</t>
        </is>
      </c>
      <c r="J30" s="3" t="inlineStr">
        <is>
          <t>Il testo non specifica esplicitamente riabilitazione, ictus, Parkinson, invecchiamento/demenze o tecnologie per la riabilitazione.</t>
        </is>
      </c>
      <c r="K30" s="4" t="n">
        <v>2500000</v>
      </c>
      <c r="L30" s="4" t="n"/>
      <c r="M30" s="2" t="inlineStr">
        <is>
          <t>USD</t>
        </is>
      </c>
      <c r="N30" s="2" t="n">
        <v>1</v>
      </c>
      <c r="O30" s="3" t="inlineStr">
        <is>
          <t>Bassa – 1 progetti finanziabili (stima: tasso storico non disponibile)</t>
        </is>
      </c>
      <c r="P30" s="3" t="inlineStr">
        <is>
          <t>100% – nessun cost sharing richiesto</t>
        </is>
      </c>
      <c r="Q30" s="5" t="n">
        <v>46336</v>
      </c>
      <c r="R30" s="6">
        <f>IF(Q30="","",Q30-TODAY())</f>
        <v/>
      </c>
      <c r="S30" s="5" t="n">
        <v>46266</v>
      </c>
      <c r="T30" s="2" t="n"/>
      <c r="U30" s="2" t="inlineStr">
        <is>
          <t>Ricerca</t>
        </is>
      </c>
      <c r="V30" s="3" t="inlineStr">
        <is>
          <t>County governments; Native American tribal governments (Federally recognized); State governments; Special district governments; Public housing authorities/Indian housing authorities; For profit organizations other than small businesses; Others (see text field entitled "Additional Information on Eligibility" for clarification); Independent school districts; Nonprofits that do not have a 501(c)(3) s</t>
        </is>
      </c>
      <c r="W30" s="3" t="n"/>
      <c r="X30" s="2" t="inlineStr">
        <is>
          <t>Solo enti statunitensi (salvo diversa indicazione)</t>
        </is>
      </c>
      <c r="Y30" s="2" t="inlineStr">
        <is>
          <t>Inglese</t>
        </is>
      </c>
      <c r="Z30" s="7" t="inlineStr">
        <is>
          <t>https://www.grants.gov/search-results-detail/359740</t>
        </is>
      </c>
      <c r="AA30" s="3" t="inlineStr">
        <is>
          <t>Il bando invita applicazioni per un Data Coordinatore Centrale che integra e diffonde dataset multiscale di testa di micio per lo studio dell'aging e della demenza di Alzheimer. Il Data Coordinatore Centrale creerà l'Atlas di Testa di Mice per l'Aging e la Demenza di Alzheimer (AD-MBA), un risorsa di ricerca centrale per dati multi-omici e connettomici provenienti dai progetti di Atlas Multimodale dell'AD (AD-MAPs) del NIA. Il Data Coordinatore Centrale (1) utilizzando l'infrastruttura di dati supportata dal NIA, facilita l'hosting, la deposizione e la diffusione di dataset multimodali generati dagli AD-MAPs, (2) facilita analisi collaborative tra i gruppi che contribuiscono ai dati, (3) sviluppa/ottimizza e incorpora strumenti per l'integrazione multiscale di dati multi-omici e connettomici, e (4) crea un interfaccia web accessibile per la visualizzazione e la diffusione dei dati integrati multiscale.</t>
        </is>
      </c>
      <c r="AB30" s="2" t="inlineStr">
        <is>
          <t>In scadenza (≤30 gg)</t>
        </is>
      </c>
      <c r="AC30" s="5" t="n">
        <v>46312</v>
      </c>
      <c r="AD30" s="5" t="n">
        <v>46312</v>
      </c>
      <c r="AE30" s="2" t="n"/>
    </row>
    <row r="31">
      <c r="A31" s="2" t="inlineStr">
        <is>
          <t>GG-HT942526SCIRPCTRA</t>
        </is>
      </c>
      <c r="B31" s="2" t="inlineStr">
        <is>
          <t>Grants.gov</t>
        </is>
      </c>
      <c r="C31" s="2" t="inlineStr">
        <is>
          <t>Defense Health Agency Contracting Activity - DHACA – HT942526SCIRPCTRA</t>
        </is>
      </c>
      <c r="D31" s="2" t="inlineStr">
        <is>
          <t>Defense Health Agency Contracting Activity - DHACA</t>
        </is>
      </c>
      <c r="E31" s="3" t="inlineStr">
        <is>
          <t>DoW Spinal Cord Injury, Clinical Translation Research Award</t>
        </is>
      </c>
      <c r="F31" s="3" t="inlineStr">
        <is>
          <t>Award per Ricerca Clinica di Trasferimento per Lesioni Spinali</t>
        </is>
      </c>
      <c r="G31" s="2" t="inlineStr">
        <is>
          <t>Riabilitazione</t>
        </is>
      </c>
      <c r="H31" s="2" t="inlineStr">
        <is>
          <t>rehabilitat</t>
        </is>
      </c>
      <c r="I31" s="2" t="inlineStr">
        <is>
          <t>Media</t>
        </is>
      </c>
      <c r="J31" s="3" t="inlineStr">
        <is>
          <t>Il testo non specifica esplicitamente riabilitazione, ictus, Parkinson, invecchiamento/demenze o tecnologie per la riabilitazione.</t>
        </is>
      </c>
      <c r="K31" s="4" t="n">
        <v>6120000</v>
      </c>
      <c r="L31" s="4" t="n"/>
      <c r="M31" s="2" t="inlineStr">
        <is>
          <t>USD</t>
        </is>
      </c>
      <c r="N31" s="2" t="n">
        <v>3</v>
      </c>
      <c r="O31" s="3" t="inlineStr">
        <is>
          <t>Bassa – 3 progetti finanziabili (stima: tasso storico non disponibile)</t>
        </is>
      </c>
      <c r="P31" s="3" t="inlineStr">
        <is>
          <t>100% – nessun cost sharing richiesto</t>
        </is>
      </c>
      <c r="Q31" s="5" t="n">
        <v>46338</v>
      </c>
      <c r="R31" s="6">
        <f>IF(Q31="","",Q31-TODAY())</f>
        <v/>
      </c>
      <c r="S31" s="5" t="n">
        <v>46147</v>
      </c>
      <c r="T31" s="2" t="n"/>
      <c r="U31" s="2" t="inlineStr">
        <is>
          <t>Ricerca</t>
        </is>
      </c>
      <c r="V31" s="3" t="inlineStr">
        <is>
          <t>Unrestricted (i.e., open to any type of entity above), subject to any clarification in text field entitled "Additional Information on Eligibility"</t>
        </is>
      </c>
      <c r="W31" s="3" t="inlineStr">
        <is>
          <t>Applicazioni a questa convenzione devono nominare almeno due partner della comunità di lesioni spinali che forniranno consigli e consulenza durante la pianificazione e l'implementazione del progetto di ricerca.</t>
        </is>
      </c>
      <c r="X31" s="2" t="inlineStr">
        <is>
          <t>Solo enti statunitensi (salvo diversa indicazione)</t>
        </is>
      </c>
      <c r="Y31" s="2" t="inlineStr">
        <is>
          <t>Inglese</t>
        </is>
      </c>
      <c r="Z31" s="7" t="inlineStr">
        <is>
          <t>https://www.grants.gov/search-results-detail/362225</t>
        </is>
      </c>
      <c r="AA31" s="3" t="inlineStr">
        <is>
          <t>Il progetto di ricerca CTRA finanziato dal Programma di Ricerca Spinali Clinica (SCIRP) del Fiscal Year 2026 (FY26) supporta ricerche innovative che richiedono studi preliminari per preparare future campagne di ricerca clinica o implementazione. I principali obiettivi includono: accelerare la trasformazione di tecniche o interventi emergenti in uso clinico, identificare le opzioni terapeutiche più efficaci per i pazienti, clinici, partner di cura e politici. La convenzione include una opzione di partnership per investigatori inizianti.</t>
        </is>
      </c>
      <c r="AB31" s="2" t="inlineStr">
        <is>
          <t>In scadenza (≤30 gg)</t>
        </is>
      </c>
      <c r="AC31" s="5" t="n">
        <v>46312</v>
      </c>
      <c r="AD31" s="5" t="n">
        <v>46312</v>
      </c>
      <c r="AE31" s="2" t="n"/>
    </row>
    <row r="32">
      <c r="A32" s="2" t="inlineStr">
        <is>
          <t>GG-HT942526ORPARA</t>
        </is>
      </c>
      <c r="B32" s="2" t="inlineStr">
        <is>
          <t>Grants.gov</t>
        </is>
      </c>
      <c r="C32" s="2" t="inlineStr">
        <is>
          <t>Defense Health Agency Contracting Activity - DHACA – HT942526ORPARA</t>
        </is>
      </c>
      <c r="D32" s="2" t="inlineStr">
        <is>
          <t>Defense Health Agency Contracting Activity - DHACA</t>
        </is>
      </c>
      <c r="E32" s="3" t="inlineStr">
        <is>
          <t>DoW Orthopaedic, Applied Research Award</t>
        </is>
      </c>
      <c r="F32" s="3" t="inlineStr">
        <is>
          <t>Award di Ricerca Applicata Osteopatia</t>
        </is>
      </c>
      <c r="G32" s="2" t="inlineStr">
        <is>
          <t>Riabilitazione</t>
        </is>
      </c>
      <c r="H32" s="2" t="inlineStr">
        <is>
          <t>rehabilitat</t>
        </is>
      </c>
      <c r="I32" s="2" t="inlineStr">
        <is>
          <t>Media</t>
        </is>
      </c>
      <c r="J32" s="3" t="inlineStr">
        <is>
          <t>Il testo non specifica esplicitamente riabilitazione, ictus, Parkinson, invecchiamento/demenze o tecnologie per la riabilitazione.</t>
        </is>
      </c>
      <c r="K32" s="4" t="n">
        <v>3800000</v>
      </c>
      <c r="L32" s="4" t="n"/>
      <c r="M32" s="2" t="inlineStr">
        <is>
          <t>USD</t>
        </is>
      </c>
      <c r="N32" s="2" t="n">
        <v>4</v>
      </c>
      <c r="O32" s="3" t="inlineStr">
        <is>
          <t>Bassa – 4 progetti finanziabili (stima: tasso storico non disponibile)</t>
        </is>
      </c>
      <c r="P32" s="3" t="inlineStr">
        <is>
          <t>100% – nessun cost sharing richiesto</t>
        </is>
      </c>
      <c r="Q32" s="5" t="n">
        <v>46344</v>
      </c>
      <c r="R32" s="6">
        <f>IF(Q32="","",Q32-TODAY())</f>
        <v/>
      </c>
      <c r="S32" s="5" t="n">
        <v>46190</v>
      </c>
      <c r="T32" s="2" t="n"/>
      <c r="U32" s="2" t="inlineStr">
        <is>
          <t>Ricerca</t>
        </is>
      </c>
      <c r="V32" s="3" t="inlineStr">
        <is>
          <t>Unrestricted (i.e., open to any type of entity above), subject to any clarification in text field entitled "Additional Information on Eligibility"</t>
        </is>
      </c>
      <c r="W32" s="3" t="n"/>
      <c r="X32" s="2" t="inlineStr">
        <is>
          <t>Solo enti statunitensi (salvo diversa indicazione)</t>
        </is>
      </c>
      <c r="Y32" s="2" t="inlineStr">
        <is>
          <t>Inglese</t>
        </is>
      </c>
      <c r="Z32" s="7" t="inlineStr">
        <is>
          <t>https://www.grants.gov/search-results-detail/362520</t>
        </is>
      </c>
      <c r="AA32" s="3" t="inlineStr">
        <is>
          <t>L'Award di Ricerca Applicata Osteopatia (ARA) cerca proposte di ricerca applicata focalizzate sull'evoluzione di trattamenti e ripristino delle funzioni per individui colpiti da lesioni osteopatiche durante attività di combattimento o attività servizio-relata. Caratteristiche Distinte: • La ricerca applicata è definita come lavoro che trasforma concetti e idee in soluzioni possibili con lo scopo di valutare la fecondità tecnica di nuovi prodotti di conoscenza, agenti farmacologici, interventi comportamentali e di ripristino, tecniche diagnostico e terapeutiche, orientamenti clinici e/o approcci emergenti e tecnologie. • Si richiede dati preliminari. • La ricerca ORP prevede che i risultati del ricerca beneficano dei militari, delle loro famiglie, dei veterani e della pubblica amministrazione generale. • La ricerca clinica non è ammissibile.</t>
        </is>
      </c>
      <c r="AB32" s="2" t="inlineStr">
        <is>
          <t>Aperto</t>
        </is>
      </c>
      <c r="AC32" s="5" t="n">
        <v>46312</v>
      </c>
      <c r="AD32" s="5" t="n">
        <v>46312</v>
      </c>
      <c r="AE32" s="2" t="n"/>
    </row>
    <row r="33">
      <c r="A33" s="2" t="inlineStr">
        <is>
          <t>GG-OFOP0003897</t>
        </is>
      </c>
      <c r="B33" s="2" t="inlineStr">
        <is>
          <t>Grants.gov</t>
        </is>
      </c>
      <c r="C33" s="2" t="inlineStr">
        <is>
          <t>U.S. Mission to Vietnam – OFOP0003897</t>
        </is>
      </c>
      <c r="D33" s="2" t="inlineStr">
        <is>
          <t>U.S. Mission to Vietnam</t>
        </is>
      </c>
      <c r="E33" s="3" t="inlineStr">
        <is>
          <t>Improved quality of life of persons with disabilities in provinces heavily sprayed with agent orange in Ca Mau and Quang Ngai</t>
        </is>
      </c>
      <c r="F33" s="3" t="inlineStr">
        <is>
          <t>Riduzione della qualità di vita di persone con disabilità in province gremiti di agent Orange in Ca Mau e Quang Ngai</t>
        </is>
      </c>
      <c r="G33" s="2" t="inlineStr">
        <is>
          <t>Riabilitazione</t>
        </is>
      </c>
      <c r="H33" s="2" t="inlineStr">
        <is>
          <t>persons with disabilities</t>
        </is>
      </c>
      <c r="I33" s="2" t="inlineStr">
        <is>
          <t>Media</t>
        </is>
      </c>
      <c r="J33" s="3" t="inlineStr">
        <is>
          <t>Il testo non specifica esplicitamente riabilitazione, ictus, Parkinson, invecchiamento/demenze o tecnologie per la riabilitazione, ma parla di persone con disabilità.</t>
        </is>
      </c>
      <c r="K33" s="4" t="n"/>
      <c r="L33" s="4" t="n">
        <v>28500000</v>
      </c>
      <c r="M33" s="2" t="inlineStr">
        <is>
          <t>USD</t>
        </is>
      </c>
      <c r="N33" s="2" t="n">
        <v>1</v>
      </c>
      <c r="O33" s="3" t="inlineStr">
        <is>
          <t>Bassa – 1 progetti finanziabili (stima: tasso storico non disponibile)</t>
        </is>
      </c>
      <c r="P33" s="3" t="inlineStr">
        <is>
          <t>100% – nessun cost sharing richiesto</t>
        </is>
      </c>
      <c r="Q33" s="5" t="n">
        <v>46345</v>
      </c>
      <c r="R33" s="6">
        <f>IF(Q33="","",Q33-TODAY())</f>
        <v/>
      </c>
      <c r="S33" s="5" t="n">
        <v>46304</v>
      </c>
      <c r="T33" s="2" t="n"/>
      <c r="U33" s="2" t="inlineStr">
        <is>
          <t>Ricerca</t>
        </is>
      </c>
      <c r="V33" s="3" t="inlineStr">
        <is>
          <t>Others (see text field entitled "Additional Information on Eligibility" for clarification)</t>
        </is>
      </c>
      <c r="W33" s="3" t="n"/>
      <c r="X33" s="2" t="inlineStr">
        <is>
          <t>Solo enti statunitensi (salvo diversa indicazione)</t>
        </is>
      </c>
      <c r="Y33" s="2" t="inlineStr">
        <is>
          <t>Inglese</t>
        </is>
      </c>
      <c r="Z33" s="7" t="inlineStr">
        <is>
          <t>https://www.grants.gov/search-results-detail/364047</t>
        </is>
      </c>
      <c r="AA33" s="3" t="inlineStr">
        <is>
          <t>Il progetto mira a migliorare la qualità di vita di persone con disabilità in due province del Vietnam gremiti di agent Orange. L'obiettivo principale è migliorare la qualità di vita di tali individui, con particolare attenzione alle loro specifiche esigenze e bisogni. Chiunque possa essere interessato a questo progetto, inclusi organizzazioni non governative, imprese private e individui, può partecipare. Il progetto finanzierà la creazione di servizi di assistenza, la formazione di personale, la ricerca e lo sviluppo di nuove tecniche e tecniche per migliorare la qualità di vita di tali individui. Il budget totale del progetto non è stato specificato, ma il progetto finanzierà un numero di progetti. Non c'è copertura di co-finanziamento. Non c'è requisito di coesione tra i progetti. Il progetto è aperto a chiunque possa essere interessato, inclusi enti governativi e non governativi, imprese private e individui. Il progetto non è limitato a un paese specifico, ma è aperto a chiunque possa essere interessato. Il progetto non ha una durata specificata.</t>
        </is>
      </c>
      <c r="AB33" s="2" t="inlineStr">
        <is>
          <t>Aperto</t>
        </is>
      </c>
      <c r="AC33" s="5" t="n">
        <v>46312</v>
      </c>
      <c r="AD33" s="5" t="n">
        <v>46312</v>
      </c>
      <c r="AE33" s="2" t="n"/>
    </row>
    <row r="34">
      <c r="A34" s="2" t="inlineStr">
        <is>
          <t>GG-PAR-25-052</t>
        </is>
      </c>
      <c r="B34" s="2" t="inlineStr">
        <is>
          <t>Grants.gov</t>
        </is>
      </c>
      <c r="C34" s="2" t="inlineStr">
        <is>
          <t>National Institutes of Health – PAR-25-052</t>
        </is>
      </c>
      <c r="D34" s="2" t="inlineStr">
        <is>
          <t>National Institutes of Health</t>
        </is>
      </c>
      <c r="E34" s="3" t="inlineStr">
        <is>
          <t>NIH StrokeNet Clinical Trials and Biomarker Studies for Stroke Treatment, Recovery, and Prevention (UG3/UH3 Clinical Trial Optional)</t>
        </is>
      </c>
      <c r="F34" s="3" t="inlineStr">
        <is>
          <t>NIH StrokeNet: Casi Clinici e Studi Biomarker per il Trattamento, Ripristino e Prevenzione del Sintomo</t>
        </is>
      </c>
      <c r="G34" s="2" t="inlineStr">
        <is>
          <t>Ictus</t>
        </is>
      </c>
      <c r="H34" s="2" t="inlineStr">
        <is>
          <t>stroke</t>
        </is>
      </c>
      <c r="I34" s="2" t="inlineStr">
        <is>
          <t>Media</t>
        </is>
      </c>
      <c r="J34" s="3" t="inlineStr">
        <is>
          <t>Il testo non specifica esplicitamente riabilitazione, ictus, Parkinson, invecchiamento/demenze o tecnologie per la riabilitazione.</t>
        </is>
      </c>
      <c r="K34" s="4" t="n"/>
      <c r="L34" s="4" t="n"/>
      <c r="M34" s="2" t="inlineStr">
        <is>
          <t>USD</t>
        </is>
      </c>
      <c r="N34" s="2" t="n"/>
      <c r="O34" s="3" t="inlineStr">
        <is>
          <t>Non stimabile – dati insufficienti</t>
        </is>
      </c>
      <c r="P34" s="3" t="inlineStr">
        <is>
          <t>100% – nessun cost sharing richiesto</t>
        </is>
      </c>
      <c r="Q34" s="5" t="n">
        <v>46345</v>
      </c>
      <c r="R34" s="6">
        <f>IF(Q34="","",Q34-TODAY())</f>
        <v/>
      </c>
      <c r="S34" s="5" t="n">
        <v>45616</v>
      </c>
      <c r="T34" s="2" t="n"/>
      <c r="U34" s="2" t="inlineStr">
        <is>
          <t>Ricerca</t>
        </is>
      </c>
      <c r="V34" s="3" t="inlineStr">
        <is>
          <t>Independent school districts; Native American tribal governments (Federally recognized); Public housing authorities/Indian housing authorities; Private institutions of higher education; County governments; Nonprofits that do not have a 501(c)(3) status with the IRS, other than institutions of higher education; Public and State controlled institutions of higher education; City or township governmen</t>
        </is>
      </c>
      <c r="W34" s="3" t="n"/>
      <c r="X34" s="2" t="inlineStr">
        <is>
          <t>Solo enti statunitensi (salvo diversa indicazione)</t>
        </is>
      </c>
      <c r="Y34" s="2" t="inlineStr">
        <is>
          <t>Inglese</t>
        </is>
      </c>
      <c r="Z34" s="7" t="inlineStr">
        <is>
          <t>https://www.grants.gov/search-results-detail/357256</t>
        </is>
      </c>
      <c r="AA34" s="3" t="inlineStr">
        <is>
          <t>Questa NOFO invita alle applicazioni per studi clinici e di biomarcatori multi-site focalizzati su interventi promettenti; studi di validazione di misure di risultato o biomarcatori preparativi ai studi in prevenzione, trattamento e ripristino del sintomo; e studi di supporto che aggiungono obiettivi scientifici a studi attualmente in corso all'interno del NIH StrokeNet. I vincitori collaboreranno e condurranno il studio all'interno del NIH StrokeNet. Dopo la valutazione peer, NINDS prioritizzerà i studi tra i più apprezzati per essere condotti all'interno del NIH StrokeNet. Il Centro Nazionale di Coordinamento del NIH StrokeNet (NCC) collaborerà con il vincitore per implementare il progetto in modo efficiente e il Centro Nazionale di Gestione dei Dati (NDMC) fornirà supporto statistico e di gestione dei dati.</t>
        </is>
      </c>
      <c r="AB34" s="2" t="inlineStr">
        <is>
          <t>Aperto</t>
        </is>
      </c>
      <c r="AC34" s="5" t="n">
        <v>46312</v>
      </c>
      <c r="AD34" s="5" t="n">
        <v>46312</v>
      </c>
      <c r="AE34" s="2" t="n"/>
    </row>
    <row r="35">
      <c r="A35" s="2" t="inlineStr">
        <is>
          <t>GG-PAR-25-226</t>
        </is>
      </c>
      <c r="B35" s="2" t="inlineStr">
        <is>
          <t>Grants.gov</t>
        </is>
      </c>
      <c r="C35" s="2" t="inlineStr">
        <is>
          <t>National Institutes of Health – PAR-25-226</t>
        </is>
      </c>
      <c r="D35" s="2" t="inlineStr">
        <is>
          <t>National Institutes of Health</t>
        </is>
      </c>
      <c r="E35" s="3" t="inlineStr">
        <is>
          <t>Seamless Early-Stage Clinical Drug Development (Phase 1 to 2a) for Novel therapeutic Agents for the Spectrum of Alzheimer's Disease (AD) and AD-related Dementias (ADRD) (UG3/UH3 Clinical Trial Required)</t>
        </is>
      </c>
      <c r="F35" s="3" t="inlineStr">
        <is>
          <t>NOVATELLE Terapie Farmacologiche per la Sindrome di Alzheimer e Dementia Relativa</t>
        </is>
      </c>
      <c r="G35" s="2" t="inlineStr">
        <is>
          <t>Invecchiamento</t>
        </is>
      </c>
      <c r="H35" s="2" t="inlineStr">
        <is>
          <t>dementi, alzheimer</t>
        </is>
      </c>
      <c r="I35" s="2" t="inlineStr">
        <is>
          <t>Media</t>
        </is>
      </c>
      <c r="J35" s="3" t="inlineStr">
        <is>
          <t>Il testo non specifica esplicitamente riabilitazione, ictus, Parkinson, invecchiamento/demenze o tecnologie per la riabilitazione.</t>
        </is>
      </c>
      <c r="K35" s="4" t="n"/>
      <c r="L35" s="4" t="n"/>
      <c r="M35" s="2" t="inlineStr">
        <is>
          <t>USD</t>
        </is>
      </c>
      <c r="N35" s="2" t="n"/>
      <c r="O35" s="3" t="inlineStr">
        <is>
          <t>Non stimabile – dati insufficienti</t>
        </is>
      </c>
      <c r="P35" s="3" t="inlineStr">
        <is>
          <t>100% – nessun cost sharing richiesto</t>
        </is>
      </c>
      <c r="Q35" s="5" t="n">
        <v>46345</v>
      </c>
      <c r="R35" s="6">
        <f>IF(Q35="","",Q35-TODAY())</f>
        <v/>
      </c>
      <c r="S35" s="5" t="n">
        <v>45618</v>
      </c>
      <c r="T35" s="2" t="n"/>
      <c r="U35" s="2" t="inlineStr">
        <is>
          <t>Ricerca</t>
        </is>
      </c>
      <c r="V35" s="3" t="inlineStr">
        <is>
          <t>Small businesses; Private institutions of higher education; For profit organizations other than small businesses; Native American tribal governments (Federally recognized); City or township governments; State governments; Nonprofits having a 501(c)(3) status with the IRS, other than institutions of higher education; Independent school districts; Special district governments; Nonprofits that do not</t>
        </is>
      </c>
      <c r="W35" s="3" t="n"/>
      <c r="X35" s="2" t="inlineStr">
        <is>
          <t>Solo enti statunitensi (salvo diversa indicazione)</t>
        </is>
      </c>
      <c r="Y35" s="2" t="inlineStr">
        <is>
          <t>Inglese</t>
        </is>
      </c>
      <c r="Z35" s="7" t="inlineStr">
        <is>
          <t>https://www.grants.gov/search-results-detail/357343</t>
        </is>
      </c>
      <c r="AA35" s="3" t="inlineStr">
        <is>
          <t>Il bando invita proposte per applicazioni che combinano protocolli indipendenti per i primi tre mesi di un'osservazione clinica con i mesi 4-12 di un'osservazione clinica più avanzata. L'obiettivo è di facilitare l'osservazione iniziale di interventi farmacologici promettenti per la Sindrome di Alzheimer e Dementia Relativa. Le interventi candidate, che possono includere molecole piccole o biologici, devono coinvolgere meccanismi non amyloid/non-tau e mirare a risolvere sintomi cognitivi e/o neuropsichiatrici in individui da pre-sintomatico a stadi più gravi della malattia. Il bando utilizza il meccanismo di assegno a fasi UG3/UH3 e le proposte devono includere milestone prescritti, and/no-go di sicurezza e tollerabilità che regolano l'avanzamento da fase 1 a fasi successive di sviluppo clinico.</t>
        </is>
      </c>
      <c r="AB35" s="2" t="inlineStr">
        <is>
          <t>Aperto</t>
        </is>
      </c>
      <c r="AC35" s="5" t="n">
        <v>46312</v>
      </c>
      <c r="AD35" s="5" t="n">
        <v>46312</v>
      </c>
      <c r="AE35" s="2" t="n"/>
    </row>
    <row r="36">
      <c r="A36" s="2" t="inlineStr">
        <is>
          <t>GG-RFA-RM-27-007</t>
        </is>
      </c>
      <c r="B36" s="2" t="inlineStr">
        <is>
          <t>Grants.gov</t>
        </is>
      </c>
      <c r="C36" s="2" t="inlineStr">
        <is>
          <t>National Institutes of Health – RFA-RM-27-007</t>
        </is>
      </c>
      <c r="D36" s="2" t="inlineStr">
        <is>
          <t>National Institutes of Health</t>
        </is>
      </c>
      <c r="E36" s="3" t="inlineStr">
        <is>
          <t>Cellular Senescence Network (SenNet): SenNet Technology Projects (SenTecs) (UG3/UH3 Clinical Trial Not Allowed)</t>
        </is>
      </c>
      <c r="F36" s="3" t="inlineStr">
        <is>
          <t>SenNet Tecnologie di Progetto (SenTecs): UG3/UH3 (Non inclusa Cura Clinica)</t>
        </is>
      </c>
      <c r="G36" s="2" t="inlineStr">
        <is>
          <t>Invecchiamento</t>
        </is>
      </c>
      <c r="H36" s="2" t="inlineStr">
        <is>
          <t>aging</t>
        </is>
      </c>
      <c r="I36" s="2" t="inlineStr">
        <is>
          <t>Bassa</t>
        </is>
      </c>
      <c r="J36" s="3" t="inlineStr">
        <is>
          <t>Il testo non specifica esplicitamente riabilitazione, ictus, Parkinson, invecchiamento/demenze o tecnologie per la riabilitazione.</t>
        </is>
      </c>
      <c r="K36" s="4" t="n">
        <v>6000000</v>
      </c>
      <c r="L36" s="4" t="n"/>
      <c r="M36" s="2" t="inlineStr">
        <is>
          <t>USD</t>
        </is>
      </c>
      <c r="N36" s="2" t="n">
        <v>15</v>
      </c>
      <c r="O36" s="3" t="inlineStr">
        <is>
          <t>Media – 15 progetti finanziabili (stima: tasso storico non disponibile)</t>
        </is>
      </c>
      <c r="P36" s="3" t="inlineStr">
        <is>
          <t>100% – nessun cost sharing richiesto</t>
        </is>
      </c>
      <c r="Q36" s="5" t="n">
        <v>46349</v>
      </c>
      <c r="R36" s="6">
        <f>IF(Q36="","",Q36-TODAY())</f>
        <v/>
      </c>
      <c r="S36" s="5" t="n">
        <v>46304</v>
      </c>
      <c r="T36" s="2" t="n"/>
      <c r="U36" s="2" t="inlineStr">
        <is>
          <t>Ricerca</t>
        </is>
      </c>
      <c r="V36" s="3" t="inlineStr">
        <is>
          <t>Independent school districts; Public housing authorities/Indian housing authorities; Native American tribal organizations (other than Federally recognized tribal governments); Nonprofits that do not have a 501(c)(3) status with the IRS, other than institutions of higher education; Special district governments; Nonprofits having a 501(c)(3) status with the IRS, other than institutions of higher edu</t>
        </is>
      </c>
      <c r="W36" s="3" t="n"/>
      <c r="X36" s="2" t="inlineStr">
        <is>
          <t>Solo enti statunitensi (salvo diversa indicazione)</t>
        </is>
      </c>
      <c r="Y36" s="2" t="inlineStr">
        <is>
          <t>Inglese</t>
        </is>
      </c>
      <c r="Z36" s="7" t="inlineStr">
        <is>
          <t>https://www.grants.gov/search-results-detail/359168</t>
        </is>
      </c>
      <c r="AA36" s="3" t="inlineStr">
        <is>
          <t>Il bando richiede lo sviluppo di tecnologie innovative per la senescenza cellulare (SenTecs) o l'adattamento di tecnologie esistenti per l'identificazione, caratterizzazione e comprensione dei conseguimenti biologici della varietà di cellule senescenti (SnC) in contesti tessutali e secrezioni. Queste sono assegni di cinque anni, con due fasi basate su milestone. La prima fase UG3 si concentra sull'evoluzione e la dimostrazione della tecnologia, mentre la seconda fase UH3 si occupa di ottimizzazione, raffinamento e validazione della tecnologia. Nella terza e ultima fase UH3, la tecnologia si occupa di un progetto di dimostrazione condotto in collaborazione all'interno del SenNet per fornire validazione aggiuntiva del progetto proposto. La transizione da UG3 a UH3 non avviene automaticamente e avviene solo dopo una revisione amministrativa alla fine del secondo anno dell'assegnamento.</t>
        </is>
      </c>
      <c r="AB36" s="2" t="inlineStr">
        <is>
          <t>Aperto</t>
        </is>
      </c>
      <c r="AC36" s="5" t="n">
        <v>46312</v>
      </c>
      <c r="AD36" s="5" t="n">
        <v>46312</v>
      </c>
      <c r="AE36" s="2" t="n"/>
    </row>
    <row r="37">
      <c r="A37" s="2" t="inlineStr">
        <is>
          <t>WEB-b91876b24181</t>
        </is>
      </c>
      <c r="B37" s="2" t="inlineStr">
        <is>
          <t>Fondazione CR Firenze</t>
        </is>
      </c>
      <c r="C37" s="2" t="inlineStr">
        <is>
          <t>Benessere scuola bando 2026</t>
        </is>
      </c>
      <c r="D37" s="2" t="inlineStr">
        <is>
          <t>Fondazione CR Firenze</t>
        </is>
      </c>
      <c r="E37" s="3" t="inlineStr">
        <is>
          <t>Benessere scuola bando 2026</t>
        </is>
      </c>
      <c r="F37" s="3" t="inlineStr">
        <is>
          <t>Benessere scolastico 2026</t>
        </is>
      </c>
      <c r="G37" s="2" t="inlineStr">
        <is>
          <t>Invecchiamento</t>
        </is>
      </c>
      <c r="H37" s="2" t="inlineStr">
        <is>
          <t>fragilita, disabilit</t>
        </is>
      </c>
      <c r="I37" s="2" t="inlineStr">
        <is>
          <t>Media</t>
        </is>
      </c>
      <c r="J37" s="3" t="inlineStr">
        <is>
          <t>Il testo non specifica esplicitamente riabilitazione, ictus, Parkinson, invecchiamento/demenze o tecnologie per la riabilitazione, ma parla di benessere scolastico e supporti per studenti.</t>
        </is>
      </c>
      <c r="K37" s="4" t="n">
        <v>750000</v>
      </c>
      <c r="L37" s="4" t="n"/>
      <c r="M37" s="2" t="inlineStr">
        <is>
          <t>EUR</t>
        </is>
      </c>
      <c r="N37" s="2" t="n">
        <v>3</v>
      </c>
      <c r="O37" s="3" t="inlineStr">
        <is>
          <t>Bassa – 3 progetti finanziabili (stima: tasso storico non disponibile)</t>
        </is>
      </c>
      <c r="P37" s="3" t="inlineStr">
        <is>
          <t>Possibile co-finanziamento: verificare</t>
        </is>
      </c>
      <c r="Q37" s="5" t="n">
        <v>46356</v>
      </c>
      <c r="R37" s="6">
        <f>IF(Q37="","",Q37-TODAY())</f>
        <v/>
      </c>
      <c r="S37" s="5" t="n"/>
      <c r="T37" s="2" t="n"/>
      <c r="U37" s="2" t="inlineStr">
        <is>
          <t>Ricerca</t>
        </is>
      </c>
      <c r="V37" s="3" t="inlineStr">
        <is>
          <t>scuole secondarie di secondo grado delle province di Firenze, Arezzo e Grosseto</t>
        </is>
      </c>
      <c r="W37" s="3" t="n"/>
      <c r="X37" s="2" t="inlineStr">
        <is>
          <t>Italia (Toscana)</t>
        </is>
      </c>
      <c r="Y37" s="2" t="inlineStr">
        <is>
          <t>Italiano</t>
        </is>
      </c>
      <c r="Z37" s="7" t="inlineStr">
        <is>
          <t>https://fondazionecrfirenze.it/wp-content/uploads/2026/07/Benessere_scuola_bando_2026.pdf</t>
        </is>
      </c>
      <c r="AA37" s="3" t="inlineStr">
        <is>
          <t>Il Bando riguarda interventi finalizzati al benessere psicologico e relazionale, al sostegno materiale, all’aiuto allo studio e alla promozione di iniziative di solidarietà educativa. Le proposte dovranno partire dai bisogni rilevati da ciascun istituto e contribuire al miglioramento della vita scolastica, alla riduzione delle disuguaglianze e al rafforzamento delle condizioni che permettono agli studenti di apprendere, partecipare e crescere. Il Bando prevede tre azioni principali e un’Azione PLUS dedicata alla solidarietà educativa e alla raccolta fondi.</t>
        </is>
      </c>
      <c r="AB37" s="2" t="inlineStr">
        <is>
          <t>Aperto</t>
        </is>
      </c>
      <c r="AC37" s="5" t="n">
        <v>46312</v>
      </c>
      <c r="AD37" s="5" t="n">
        <v>46312</v>
      </c>
      <c r="AE37" s="2" t="n"/>
    </row>
    <row r="38">
      <c r="A38" s="2" t="inlineStr">
        <is>
          <t>EU-HORIZON-NEB-2026-01-REGEN-01</t>
        </is>
      </c>
      <c r="B38" s="2" t="inlineStr">
        <is>
          <t>EU Funding &amp; Tenders Portal</t>
        </is>
      </c>
      <c r="C38" s="2" t="inlineStr">
        <is>
          <t>Horizon Europe – HORIZON Innovation Actions</t>
        </is>
      </c>
      <c r="D38" s="2" t="inlineStr">
        <is>
          <t>Commissione europea</t>
        </is>
      </c>
      <c r="E38" s="3" t="inlineStr">
        <is>
          <t>Sustainable, inclusive, affordable and beautiful solutions for thermal comfort in buildings</t>
        </is>
      </c>
      <c r="F38" s="3" t="inlineStr">
        <is>
          <t>Sustainable, inclusive, affordable and beautiful solutions for thermal comfort in buildings</t>
        </is>
      </c>
      <c r="G38" s="2" t="inlineStr">
        <is>
          <t>Invecchiamento</t>
        </is>
      </c>
      <c r="H38" s="2" t="inlineStr">
        <is>
          <t>elderly</t>
        </is>
      </c>
      <c r="I38" s="2" t="inlineStr">
        <is>
          <t>Non analizzato</t>
        </is>
      </c>
      <c r="J38" s="3" t="n"/>
      <c r="K38" s="4" t="n">
        <v>12000000</v>
      </c>
      <c r="L38" s="4" t="n">
        <v>4000000</v>
      </c>
      <c r="M38" s="2" t="inlineStr">
        <is>
          <t>EUR</t>
        </is>
      </c>
      <c r="N38" s="2" t="n">
        <v>3</v>
      </c>
      <c r="O38" s="3" t="inlineStr">
        <is>
          <t>Bassa – 3 progetti finanziabili (stima: tasso storico non disponibile)</t>
        </is>
      </c>
      <c r="P38" s="3" t="inlineStr">
        <is>
          <t>70% per le imprese, 100% per gli enti non profit</t>
        </is>
      </c>
      <c r="Q38" s="5" t="n">
        <v>46357</v>
      </c>
      <c r="R38" s="6">
        <f>IF(Q38="","",Q38-TODAY())</f>
        <v/>
      </c>
      <c r="S38" s="5" t="n">
        <v>46147</v>
      </c>
      <c r="T38" s="2" t="n"/>
      <c r="U38" s="2" t="inlineStr">
        <is>
          <t>Innovazione</t>
        </is>
      </c>
      <c r="V38" s="3" t="n"/>
      <c r="W38" s="3" t="inlineStr">
        <is>
          <t>Consorzio: min. 3 enti indipendenti da 3 paesi UE/associati (regola standard, verificare il topic)</t>
        </is>
      </c>
      <c r="X38" s="2" t="inlineStr">
        <is>
          <t>Stati membri UE e paesi associati (altri paesi secondo le condizioni del topic)</t>
        </is>
      </c>
      <c r="Y38" s="2" t="inlineStr">
        <is>
          <t>Inglese</t>
        </is>
      </c>
      <c r="Z38" s="7" t="inlineStr">
        <is>
          <t>https://ec.europa.eu/info/funding-tenders/opportunities/portal/screen/opportunities/topic-details/HORIZON-NEB-2026-01-REGEN-01</t>
        </is>
      </c>
      <c r="AA38" s="3" t="n"/>
      <c r="AB38" s="2" t="inlineStr">
        <is>
          <t>Aperto</t>
        </is>
      </c>
      <c r="AC38" s="5" t="n">
        <v>46312</v>
      </c>
      <c r="AD38" s="5" t="n">
        <v>46312</v>
      </c>
      <c r="AE38" s="2" t="n"/>
    </row>
    <row r="39">
      <c r="A39" s="2" t="inlineStr">
        <is>
          <t>EU-HORIZON-NEB-2026-01-PARTICIPATION-03</t>
        </is>
      </c>
      <c r="B39" s="2" t="inlineStr">
        <is>
          <t>EU Funding &amp; Tenders Portal</t>
        </is>
      </c>
      <c r="C39" s="2" t="inlineStr">
        <is>
          <t>Horizon Europe – HORIZON  Research and Innovation Actions</t>
        </is>
      </c>
      <c r="D39" s="2" t="inlineStr">
        <is>
          <t>Commissione europea</t>
        </is>
      </c>
      <c r="E39" s="3" t="inlineStr">
        <is>
          <t>Understanding inhabitant’s experiences of neighbourhoods to support their health and well-being</t>
        </is>
      </c>
      <c r="F39" s="3" t="inlineStr">
        <is>
          <t>Nei percorsi dei residenti per migliorare la salute e la benessere</t>
        </is>
      </c>
      <c r="G39" s="2" t="inlineStr">
        <is>
          <t>Invecchiamento</t>
        </is>
      </c>
      <c r="H39" s="2" t="inlineStr">
        <is>
          <t>older adults</t>
        </is>
      </c>
      <c r="I39" s="2" t="inlineStr">
        <is>
          <t>Media</t>
        </is>
      </c>
      <c r="J39" s="3" t="inlineStr">
        <is>
          <t>Il testo non specifica esplicitamente riabilitazione, ictus, Parkinson, invecchiamento/demenze o tecnologie per la riabilitazione.</t>
        </is>
      </c>
      <c r="K39" s="4" t="n">
        <v>15000000</v>
      </c>
      <c r="L39" s="4" t="n">
        <v>5000000</v>
      </c>
      <c r="M39" s="2" t="inlineStr">
        <is>
          <t>EUR</t>
        </is>
      </c>
      <c r="N39" s="2" t="n">
        <v>3</v>
      </c>
      <c r="O39" s="3" t="inlineStr">
        <is>
          <t>Bassa – 3 progetti finanziabili (stima: tasso storico non disponibile)</t>
        </is>
      </c>
      <c r="P39" s="3" t="inlineStr">
        <is>
          <t>100% – finanziato per intero</t>
        </is>
      </c>
      <c r="Q39" s="5" t="n">
        <v>46357</v>
      </c>
      <c r="R39" s="6">
        <f>IF(Q39="","",Q39-TODAY())</f>
        <v/>
      </c>
      <c r="S39" s="5" t="n">
        <v>46147</v>
      </c>
      <c r="T39" s="2" t="n"/>
      <c r="U39" s="2" t="inlineStr">
        <is>
          <t>Ricerca</t>
        </is>
      </c>
      <c r="V39" s="3" t="inlineStr">
        <is>
          <t>Enti o individui che possiedono competenze in settori sociali e umanistiche (SSH).</t>
        </is>
      </c>
      <c r="W39" s="3" t="inlineStr">
        <is>
          <t>Consorzio: min. 3 enti indipendenti da 3 paesi UE/associati (regola standard, verificare il topic)</t>
        </is>
      </c>
      <c r="X39" s="2" t="inlineStr">
        <is>
          <t>Stati membri UE e paesi associati (altri paesi secondo le condizioni del topic)</t>
        </is>
      </c>
      <c r="Y39" s="2" t="inlineStr">
        <is>
          <t>Inglese</t>
        </is>
      </c>
      <c r="Z39" s="7" t="inlineStr">
        <is>
          <t>https://ec.europa.eu/info/funding-tenders/opportunities/portal/screen/opportunities/topic-details/HORIZON-NEB-2026-01-PARTICIPATION-03</t>
        </is>
      </c>
      <c r="AA39" s="3" t="inlineStr">
        <is>
          <t>Il bando mira a comprendere come i residenti vivono e si sentono nei loro quartieri, con particolare attenzione alla loro salute e benessere. Si richiede la partecipazione di diversi gruppi di persone, inclusi quelli in situazioni vulnerabili, e si richiede di fornire dati comparabili e validi in tre quartieri diversi in tre paesi diversi. I progetti devono fornire consigli alle autorità locali e al settore artistico, culturale e patrimoniale per migliorare l'esperienza dei residenti e il loro benessere, e per guidare la trasformazione verde dei quartieri, inclusa la loro trasformazione positiva e resilienza climatica. Il progetto richiede un contributo significativo dei settori sociali e umanistiche (SSH) e la partecipazione di esperti di SSH.</t>
        </is>
      </c>
      <c r="AB39" s="2" t="inlineStr">
        <is>
          <t>Aperto</t>
        </is>
      </c>
      <c r="AC39" s="5" t="n">
        <v>46312</v>
      </c>
      <c r="AD39" s="5" t="n">
        <v>46312</v>
      </c>
      <c r="AE39" s="2" t="n"/>
    </row>
    <row r="40">
      <c r="A40" s="2" t="inlineStr">
        <is>
          <t>EU-HORIZON-NEB-2026-01-REGEN-02</t>
        </is>
      </c>
      <c r="B40" s="2" t="inlineStr">
        <is>
          <t>EU Funding &amp; Tenders Portal</t>
        </is>
      </c>
      <c r="C40" s="2" t="inlineStr">
        <is>
          <t>Horizon Europe – HORIZON Innovation Actions</t>
        </is>
      </c>
      <c r="D40" s="2" t="inlineStr">
        <is>
          <t>Commissione europea</t>
        </is>
      </c>
      <c r="E40" s="3" t="inlineStr">
        <is>
          <t>Advancing sustainable maintenance and repair measures for existing buildings</t>
        </is>
      </c>
      <c r="F40" s="3" t="inlineStr">
        <is>
          <t>Promuovere misure di manutenzione e riparazione sostenibili per edifici esistenti</t>
        </is>
      </c>
      <c r="G40" s="2" t="inlineStr">
        <is>
          <t>Invecchiamento</t>
        </is>
      </c>
      <c r="H40" s="2" t="inlineStr">
        <is>
          <t>elderly</t>
        </is>
      </c>
      <c r="I40" s="2" t="inlineStr">
        <is>
          <t>Bassa</t>
        </is>
      </c>
      <c r="J40" s="3" t="inlineStr">
        <is>
          <t>Il testo non specifica esplicitamente riabilitazione, ictus, Parkinson, invecchiamento/demenze o tecnologie per la riabilitazione.</t>
        </is>
      </c>
      <c r="K40" s="4" t="n">
        <v>10000000</v>
      </c>
      <c r="L40" s="4" t="n">
        <v>5000000</v>
      </c>
      <c r="M40" s="2" t="inlineStr">
        <is>
          <t>EUR</t>
        </is>
      </c>
      <c r="N40" s="2" t="n">
        <v>2</v>
      </c>
      <c r="O40" s="3" t="inlineStr">
        <is>
          <t>Bassa – 2 progetti finanziabili (stima: tasso storico non disponibile)</t>
        </is>
      </c>
      <c r="P40" s="3" t="inlineStr">
        <is>
          <t>70% per le imprese, 100% per gli enti non profit</t>
        </is>
      </c>
      <c r="Q40" s="5" t="n">
        <v>46357</v>
      </c>
      <c r="R40" s="6">
        <f>IF(Q40="","",Q40-TODAY())</f>
        <v/>
      </c>
      <c r="S40" s="5" t="n">
        <v>46147</v>
      </c>
      <c r="T40" s="2" t="n"/>
      <c r="U40" s="2" t="inlineStr">
        <is>
          <t>Innovazione</t>
        </is>
      </c>
      <c r="V40" s="3" t="n"/>
      <c r="W40" s="3" t="inlineStr">
        <is>
          <t>Consorzio: min. 3 enti indipendenti da 3 paesi UE/associati (regola standard, verificare il topic)</t>
        </is>
      </c>
      <c r="X40" s="2" t="inlineStr">
        <is>
          <t>Stati membri UE e paesi associati (altri paesi secondo le condizioni del topic)</t>
        </is>
      </c>
      <c r="Y40" s="2" t="inlineStr">
        <is>
          <t>Inglese</t>
        </is>
      </c>
      <c r="Z40" s="7" t="inlineStr">
        <is>
          <t>https://ec.europa.eu/info/funding-tenders/opportunities/portal/screen/opportunities/topic-details/HORIZON-NEB-2026-01-REGEN-02</t>
        </is>
      </c>
      <c r="AA40" s="3" t="inlineStr">
        <is>
          <t>Il bando mira a sviluppare strumenti decisionali basati su LC per la manutenzione predittiva e misure di manutenzione e riparazione per estendere la vita utile degli edifici esistenti. Si prega di concentrarsi su misure che integrino principi circolari, siano ambientalmente sostenibili e finanziabilmente realizzabili nel ciclo di vita rimanente degli edifici. Si richiede che le misure includano la partecipazione degli abitanti, degli utenti e degli proprietari degli edifici. Si richiede che le misure siano compatibili con le normative europee e nazionali. Si richiede che le misure riducano il disorientamento per gli abitanti o gli utenti in termini di rumore e durata dei lavori. Si richiede che si esplorino le potenzialità di applicazione diffusa della manutenzione predittiva per gli edifici esistenti, si identifichino i barriera che ostacolano l'applicazione della manutenzione predittiva e si propiano soluzioni per superarle. Si richiede che si segua un approccio partecipativo e transdisciplinare attraverso l'integrazione di diversi attori e discipline. Si richiede che si prenda in considerazione la contribuzione dei settori sociali e umanistici (SSH) e la loro coinvolgimento per produrre effetti significativi che migliorano l'impatto sociale delle attività di ricerca correlate.</t>
        </is>
      </c>
      <c r="AB40" s="2" t="inlineStr">
        <is>
          <t>Aperto</t>
        </is>
      </c>
      <c r="AC40" s="5" t="n">
        <v>46312</v>
      </c>
      <c r="AD40" s="5" t="n">
        <v>46312</v>
      </c>
      <c r="AE40" s="2" t="n"/>
    </row>
    <row r="41">
      <c r="A41" s="2" t="inlineStr">
        <is>
          <t>GG-RFA-TS-27-018</t>
        </is>
      </c>
      <c r="B41" s="2" t="inlineStr">
        <is>
          <t>Grants.gov</t>
        </is>
      </c>
      <c r="C41" s="2" t="inlineStr">
        <is>
          <t>Centers for Disease Control and Prevention - ERA – RFA-TS-27-018</t>
        </is>
      </c>
      <c r="D41" s="2" t="inlineStr">
        <is>
          <t>Centers for Disease Control and Prevention - ERA</t>
        </is>
      </c>
      <c r="E41" s="3" t="inlineStr">
        <is>
          <t>Identify and Evaluate Potential Risk Factors for Amyotrophic Lateral Sclerosis (ALS)</t>
        </is>
      </c>
      <c r="F41" s="3" t="inlineStr">
        <is>
          <t>Identify and Evaluate Potential Risk Factors for Amyotrophic Lateral Sclerosis (ALS)</t>
        </is>
      </c>
      <c r="G41" s="2" t="inlineStr">
        <is>
          <t>Ictus</t>
        </is>
      </c>
      <c r="H41" s="2" t="inlineStr">
        <is>
          <t>traumatic brain injur</t>
        </is>
      </c>
      <c r="I41" s="2" t="inlineStr">
        <is>
          <t>Non analizzato</t>
        </is>
      </c>
      <c r="J41" s="3" t="n"/>
      <c r="K41" s="4" t="n">
        <v>4500000</v>
      </c>
      <c r="L41" s="4" t="n">
        <v>500000</v>
      </c>
      <c r="M41" s="2" t="inlineStr">
        <is>
          <t>USD</t>
        </is>
      </c>
      <c r="N41" s="2" t="n">
        <v>3</v>
      </c>
      <c r="O41" s="3" t="inlineStr">
        <is>
          <t>Bassa – 3 progetti finanziabili (stima: tasso storico non disponibile)</t>
        </is>
      </c>
      <c r="P41" s="3" t="inlineStr">
        <is>
          <t>100% – nessun cost sharing richiesto</t>
        </is>
      </c>
      <c r="Q41" s="5" t="n">
        <v>46357</v>
      </c>
      <c r="R41" s="6">
        <f>IF(Q41="","",Q41-TODAY())</f>
        <v/>
      </c>
      <c r="S41" s="5" t="n">
        <v>46211</v>
      </c>
      <c r="T41" s="2" t="n"/>
      <c r="U41" s="2" t="n"/>
      <c r="V41" s="3" t="inlineStr">
        <is>
          <t>Special district governments; Public housing authorities/Indian housing authorities; Independent school districts; Private institutions of higher education; Nonprofits having a 501(c)(3) status with the IRS, other than institutions of higher education; County governments; City or township governments; Others (see text field entitled "Additional Information on Eligibility" for clarification); State</t>
        </is>
      </c>
      <c r="W41" s="3" t="n"/>
      <c r="X41" s="2" t="inlineStr">
        <is>
          <t>Solo enti statunitensi (salvo diversa indicazione)</t>
        </is>
      </c>
      <c r="Y41" s="2" t="inlineStr">
        <is>
          <t>Inglese</t>
        </is>
      </c>
      <c r="Z41" s="7" t="inlineStr">
        <is>
          <t>https://www.grants.gov/search-results-detail/363115</t>
        </is>
      </c>
      <c r="AA41" s="3" t="n"/>
      <c r="AB41" s="2" t="inlineStr">
        <is>
          <t>Aperto</t>
        </is>
      </c>
      <c r="AC41" s="5" t="n">
        <v>46312</v>
      </c>
      <c r="AD41" s="5" t="n">
        <v>46312</v>
      </c>
      <c r="AE41" s="2" t="n"/>
    </row>
    <row r="42">
      <c r="A42" s="2" t="inlineStr">
        <is>
          <t>GG-HHS-2027-ACL-NIDILRR-ARCP-0300</t>
        </is>
      </c>
      <c r="B42" s="2" t="inlineStr">
        <is>
          <t>Grants.gov</t>
        </is>
      </c>
      <c r="C42" s="2" t="inlineStr">
        <is>
          <t>Administration for Community Living – HHS-2027-ACL-NIDILRR-ARCP-0300</t>
        </is>
      </c>
      <c r="D42" s="2" t="inlineStr">
        <is>
          <t>Administration for Community Living</t>
        </is>
      </c>
      <c r="E42" s="3" t="inlineStr">
        <is>
          <t>Advanced Rehabilitation Research Training (ARRT) Program - Community Living and Participation</t>
        </is>
      </c>
      <c r="F42" s="3" t="inlineStr">
        <is>
          <t>Advanced Rehabilitation Research Training (ARRT) Program - Community Living and Participation</t>
        </is>
      </c>
      <c r="G42" s="2" t="inlineStr">
        <is>
          <t>Riabilitazione</t>
        </is>
      </c>
      <c r="H42" s="2" t="inlineStr">
        <is>
          <t>rehabilitat, disabilit</t>
        </is>
      </c>
      <c r="I42" s="2" t="inlineStr">
        <is>
          <t>Non analizzato</t>
        </is>
      </c>
      <c r="J42" s="3" t="n"/>
      <c r="K42" s="4" t="n">
        <v>250000</v>
      </c>
      <c r="L42" s="4" t="n">
        <v>250000</v>
      </c>
      <c r="M42" s="2" t="inlineStr">
        <is>
          <t>USD</t>
        </is>
      </c>
      <c r="N42" s="2" t="n">
        <v>1</v>
      </c>
      <c r="O42" s="3" t="inlineStr">
        <is>
          <t>Bassa – 1 progetti finanziabili (stima: tasso storico non disponibile)</t>
        </is>
      </c>
      <c r="P42" s="3" t="inlineStr">
        <is>
          <t>100% – nessun cost sharing richiesto</t>
        </is>
      </c>
      <c r="Q42" s="5" t="n">
        <v>46363</v>
      </c>
      <c r="R42" s="6">
        <f>IF(Q42="","",Q42-TODAY())</f>
        <v/>
      </c>
      <c r="S42" s="5" t="n">
        <v>46290</v>
      </c>
      <c r="T42" s="2" t="n"/>
      <c r="U42" s="2" t="n"/>
      <c r="V42" s="3" t="inlineStr">
        <is>
          <t>Private institutions of higher education; Public and State controlled institutions of higher education</t>
        </is>
      </c>
      <c r="W42" s="3" t="n"/>
      <c r="X42" s="2" t="inlineStr">
        <is>
          <t>Solo enti statunitensi (salvo diversa indicazione)</t>
        </is>
      </c>
      <c r="Y42" s="2" t="inlineStr">
        <is>
          <t>Inglese</t>
        </is>
      </c>
      <c r="Z42" s="7" t="inlineStr">
        <is>
          <t>https://www.grants.gov/search-results-detail/363963</t>
        </is>
      </c>
      <c r="AA42" s="3" t="n"/>
      <c r="AB42" s="2" t="inlineStr">
        <is>
          <t>Aperto</t>
        </is>
      </c>
      <c r="AC42" s="5" t="n">
        <v>46312</v>
      </c>
      <c r="AD42" s="5" t="n">
        <v>46312</v>
      </c>
      <c r="AE42" s="2" t="n"/>
    </row>
    <row r="43">
      <c r="A43" s="2" t="inlineStr">
        <is>
          <t>GG-HHS-2027-ACL-NIDILRR-AREM-0301</t>
        </is>
      </c>
      <c r="B43" s="2" t="inlineStr">
        <is>
          <t>Grants.gov</t>
        </is>
      </c>
      <c r="C43" s="2" t="inlineStr">
        <is>
          <t>Administration for Community Living – HHS-2027-ACL-NIDILRR-AREM-0301</t>
        </is>
      </c>
      <c r="D43" s="2" t="inlineStr">
        <is>
          <t>Administration for Community Living</t>
        </is>
      </c>
      <c r="E43" s="3" t="inlineStr">
        <is>
          <t>Advanced Rehabilitation Research Training (ARRT) Program - Employment</t>
        </is>
      </c>
      <c r="F43" s="3" t="inlineStr">
        <is>
          <t>Advanced Rehabilitation Research Training (ARRT) Program - Employment</t>
        </is>
      </c>
      <c r="G43" s="2" t="inlineStr">
        <is>
          <t>Riabilitazione</t>
        </is>
      </c>
      <c r="H43" s="2" t="inlineStr">
        <is>
          <t>rehabilitat, disabilit</t>
        </is>
      </c>
      <c r="I43" s="2" t="inlineStr">
        <is>
          <t>Non analizzato</t>
        </is>
      </c>
      <c r="J43" s="3" t="n"/>
      <c r="K43" s="4" t="n">
        <v>250000</v>
      </c>
      <c r="L43" s="4" t="n">
        <v>250000</v>
      </c>
      <c r="M43" s="2" t="inlineStr">
        <is>
          <t>USD</t>
        </is>
      </c>
      <c r="N43" s="2" t="n">
        <v>1</v>
      </c>
      <c r="O43" s="3" t="inlineStr">
        <is>
          <t>Bassa – 1 progetti finanziabili (stima: tasso storico non disponibile)</t>
        </is>
      </c>
      <c r="P43" s="3" t="inlineStr">
        <is>
          <t>100% – nessun cost sharing richiesto</t>
        </is>
      </c>
      <c r="Q43" s="5" t="n">
        <v>46363</v>
      </c>
      <c r="R43" s="6">
        <f>IF(Q43="","",Q43-TODAY())</f>
        <v/>
      </c>
      <c r="S43" s="5" t="n">
        <v>46290</v>
      </c>
      <c r="T43" s="2" t="n"/>
      <c r="U43" s="2" t="n"/>
      <c r="V43" s="3" t="inlineStr">
        <is>
          <t>Private institutions of higher education; Public and State controlled institutions of higher education</t>
        </is>
      </c>
      <c r="W43" s="3" t="n"/>
      <c r="X43" s="2" t="inlineStr">
        <is>
          <t>Solo enti statunitensi (salvo diversa indicazione)</t>
        </is>
      </c>
      <c r="Y43" s="2" t="inlineStr">
        <is>
          <t>Inglese</t>
        </is>
      </c>
      <c r="Z43" s="7" t="inlineStr">
        <is>
          <t>https://www.grants.gov/search-results-detail/363964</t>
        </is>
      </c>
      <c r="AA43" s="3" t="n"/>
      <c r="AB43" s="2" t="inlineStr">
        <is>
          <t>Aperto</t>
        </is>
      </c>
      <c r="AC43" s="5" t="n">
        <v>46312</v>
      </c>
      <c r="AD43" s="5" t="n">
        <v>46312</v>
      </c>
      <c r="AE43" s="2" t="n"/>
    </row>
    <row r="44">
      <c r="A44" s="2" t="inlineStr">
        <is>
          <t>GG-HHS-2027-ACL-NIDILRR-ARHF-0302</t>
        </is>
      </c>
      <c r="B44" s="2" t="inlineStr">
        <is>
          <t>Grants.gov</t>
        </is>
      </c>
      <c r="C44" s="2" t="inlineStr">
        <is>
          <t>Administration for Community Living – HHS-2027-ACL-NIDILRR-ARHF-0302</t>
        </is>
      </c>
      <c r="D44" s="2" t="inlineStr">
        <is>
          <t>Administration for Community Living</t>
        </is>
      </c>
      <c r="E44" s="3" t="inlineStr">
        <is>
          <t>Advanced Rehabilitation Research Training (ARRT) Program - Health and Function</t>
        </is>
      </c>
      <c r="F44" s="3" t="inlineStr">
        <is>
          <t>Advanced Rehabilitation Research Training (ARRT) Program - Health and Function</t>
        </is>
      </c>
      <c r="G44" s="2" t="inlineStr">
        <is>
          <t>Riabilitazione</t>
        </is>
      </c>
      <c r="H44" s="2" t="inlineStr">
        <is>
          <t>rehabilitat, disabilit</t>
        </is>
      </c>
      <c r="I44" s="2" t="inlineStr">
        <is>
          <t>Non analizzato</t>
        </is>
      </c>
      <c r="J44" s="3" t="n"/>
      <c r="K44" s="4" t="n">
        <v>250000</v>
      </c>
      <c r="L44" s="4" t="n">
        <v>250000</v>
      </c>
      <c r="M44" s="2" t="inlineStr">
        <is>
          <t>USD</t>
        </is>
      </c>
      <c r="N44" s="2" t="n">
        <v>1</v>
      </c>
      <c r="O44" s="3" t="inlineStr">
        <is>
          <t>Bassa – 1 progetti finanziabili (stima: tasso storico non disponibile)</t>
        </is>
      </c>
      <c r="P44" s="3" t="inlineStr">
        <is>
          <t>100% – nessun cost sharing richiesto</t>
        </is>
      </c>
      <c r="Q44" s="5" t="n">
        <v>46363</v>
      </c>
      <c r="R44" s="6">
        <f>IF(Q44="","",Q44-TODAY())</f>
        <v/>
      </c>
      <c r="S44" s="5" t="n">
        <v>46290</v>
      </c>
      <c r="T44" s="2" t="n"/>
      <c r="U44" s="2" t="n"/>
      <c r="V44" s="3" t="inlineStr">
        <is>
          <t>Private institutions of higher education; Public and State controlled institutions of higher education</t>
        </is>
      </c>
      <c r="W44" s="3" t="n"/>
      <c r="X44" s="2" t="inlineStr">
        <is>
          <t>Solo enti statunitensi (salvo diversa indicazione)</t>
        </is>
      </c>
      <c r="Y44" s="2" t="inlineStr">
        <is>
          <t>Inglese</t>
        </is>
      </c>
      <c r="Z44" s="7" t="inlineStr">
        <is>
          <t>https://www.grants.gov/search-results-detail/363965</t>
        </is>
      </c>
      <c r="AA44" s="3" t="n"/>
      <c r="AB44" s="2" t="inlineStr">
        <is>
          <t>Aperto</t>
        </is>
      </c>
      <c r="AC44" s="5" t="n">
        <v>46312</v>
      </c>
      <c r="AD44" s="5" t="n">
        <v>46312</v>
      </c>
      <c r="AE44" s="2" t="n"/>
    </row>
    <row r="45">
      <c r="A45" s="2" t="inlineStr">
        <is>
          <t>GG-RFA-OH-27-031</t>
        </is>
      </c>
      <c r="B45" s="2" t="inlineStr">
        <is>
          <t>Grants.gov</t>
        </is>
      </c>
      <c r="C45" s="2" t="inlineStr">
        <is>
          <t>Centers for Disease Control and Prevention - ERA – RFA-OH-27-031</t>
        </is>
      </c>
      <c r="D45" s="2" t="inlineStr">
        <is>
          <t>Centers for Disease Control and Prevention - ERA</t>
        </is>
      </c>
      <c r="E45" s="3" t="inlineStr">
        <is>
          <t>World Trade Center Health Program Mentored Research Scientist Career Development Award (K01)</t>
        </is>
      </c>
      <c r="F45" s="3" t="inlineStr">
        <is>
          <t>World Trade Center Health Program Mentored Research Scientist Career Development Award (K01)</t>
        </is>
      </c>
      <c r="G45" s="2" t="inlineStr">
        <is>
          <t>Invecchiamento</t>
        </is>
      </c>
      <c r="H45" s="2" t="inlineStr">
        <is>
          <t>aging</t>
        </is>
      </c>
      <c r="I45" s="2" t="inlineStr">
        <is>
          <t>Non analizzato</t>
        </is>
      </c>
      <c r="J45" s="3" t="n"/>
      <c r="K45" s="4" t="n">
        <v>11340000</v>
      </c>
      <c r="L45" s="4" t="n">
        <v>189000</v>
      </c>
      <c r="M45" s="2" t="inlineStr">
        <is>
          <t>USD</t>
        </is>
      </c>
      <c r="N45" s="2" t="n">
        <v>20</v>
      </c>
      <c r="O45" s="3" t="inlineStr">
        <is>
          <t>Alta – 20 progetti finanziabili (stima: tasso storico non disponibile)</t>
        </is>
      </c>
      <c r="P45" s="3" t="inlineStr">
        <is>
          <t>100% – nessun cost sharing richiesto</t>
        </is>
      </c>
      <c r="Q45" s="5" t="n">
        <v>46364</v>
      </c>
      <c r="R45" s="6">
        <f>IF(Q45="","",Q45-TODAY())</f>
        <v/>
      </c>
      <c r="S45" s="5" t="n">
        <v>46205</v>
      </c>
      <c r="T45" s="2" t="n"/>
      <c r="U45" s="2" t="n"/>
      <c r="V45" s="3" t="inlineStr">
        <is>
          <t>State governments; Independent school districts; For profit organizations other than small businesses; Nonprofits having a 501(c)(3) status with the IRS, other than institutions of higher education; Public housing authorities/Indian housing authorities; Small businesses; Public and State controlled institutions of higher education; Nonprofits that do not have a 501(c)(3) status with the IRS, other</t>
        </is>
      </c>
      <c r="W45" s="3" t="n"/>
      <c r="X45" s="2" t="inlineStr">
        <is>
          <t>Solo enti statunitensi (salvo diversa indicazione)</t>
        </is>
      </c>
      <c r="Y45" s="2" t="inlineStr">
        <is>
          <t>Inglese</t>
        </is>
      </c>
      <c r="Z45" s="7" t="inlineStr">
        <is>
          <t>https://www.grants.gov/search-results-detail/363054</t>
        </is>
      </c>
      <c r="AA45" s="3" t="n"/>
      <c r="AB45" s="2" t="inlineStr">
        <is>
          <t>Aperto</t>
        </is>
      </c>
      <c r="AC45" s="5" t="n">
        <v>46312</v>
      </c>
      <c r="AD45" s="5" t="n">
        <v>46312</v>
      </c>
      <c r="AE45" s="2" t="n"/>
    </row>
    <row r="46">
      <c r="A46" s="2" t="inlineStr">
        <is>
          <t>WEB-830b7cf74409</t>
        </is>
      </c>
      <c r="B46" s="2" t="inlineStr">
        <is>
          <t>Fondazione CR Firenze</t>
        </is>
      </c>
      <c r="C46" s="2" t="inlineStr">
        <is>
          <t>01 BANDO Spazi Verdi Attivi 2026</t>
        </is>
      </c>
      <c r="D46" s="2" t="inlineStr">
        <is>
          <t>Fondazione CR Firenze</t>
        </is>
      </c>
      <c r="E46" s="3" t="inlineStr">
        <is>
          <t>01 BANDO Spazi Verdi Attivi 2026</t>
        </is>
      </c>
      <c r="F46" s="3" t="inlineStr">
        <is>
          <t>01 BANDO Spazi Verdi Attivi 2026</t>
        </is>
      </c>
      <c r="G46" s="2" t="inlineStr">
        <is>
          <t>Invecchiamento</t>
        </is>
      </c>
      <c r="H46" s="2" t="inlineStr">
        <is>
          <t>anzian, disabilit</t>
        </is>
      </c>
      <c r="I46" s="2" t="inlineStr">
        <is>
          <t>Non analizzato</t>
        </is>
      </c>
      <c r="J46" s="3" t="n"/>
      <c r="K46" s="4" t="n">
        <v>10</v>
      </c>
      <c r="L46" s="4" t="n"/>
      <c r="M46" s="2" t="inlineStr">
        <is>
          <t>EUR</t>
        </is>
      </c>
      <c r="N46" s="2" t="n"/>
      <c r="O46" s="3" t="inlineStr">
        <is>
          <t>Non stimabile – dati insufficienti</t>
        </is>
      </c>
      <c r="P46" s="3" t="inlineStr">
        <is>
          <t>Possibile co-finanziamento: verificare</t>
        </is>
      </c>
      <c r="Q46" s="5" t="n">
        <v>46366</v>
      </c>
      <c r="R46" s="6">
        <f>IF(Q46="","",Q46-TODAY())</f>
        <v/>
      </c>
      <c r="S46" s="5" t="n"/>
      <c r="T46" s="2" t="n"/>
      <c r="U46" s="2" t="n"/>
      <c r="V46" s="3" t="n"/>
      <c r="W46" s="3" t="n"/>
      <c r="X46" s="2" t="inlineStr">
        <is>
          <t>Italia (Toscana)</t>
        </is>
      </c>
      <c r="Y46" s="2" t="inlineStr">
        <is>
          <t>Italiano</t>
        </is>
      </c>
      <c r="Z46" s="7" t="inlineStr">
        <is>
          <t>https://fondazionecrfirenze.it/wp-content/uploads/2026/09/01-BANDO_Spazi_Verdi_Attivi_2026.pdf</t>
        </is>
      </c>
      <c r="AA46" s="3" t="n"/>
      <c r="AB46" s="2" t="inlineStr">
        <is>
          <t>Aperto</t>
        </is>
      </c>
      <c r="AC46" s="5" t="n">
        <v>46312</v>
      </c>
      <c r="AD46" s="5" t="n">
        <v>46312</v>
      </c>
      <c r="AE46" s="2" t="n"/>
    </row>
    <row r="47">
      <c r="A47" s="2" t="inlineStr">
        <is>
          <t>GG-ED-GRANTS-101526-002</t>
        </is>
      </c>
      <c r="B47" s="2" t="inlineStr">
        <is>
          <t>Grants.gov</t>
        </is>
      </c>
      <c r="C47" s="2" t="inlineStr">
        <is>
          <t>Department of Education – ED-GRANTS-101526-002</t>
        </is>
      </c>
      <c r="D47" s="2" t="inlineStr">
        <is>
          <t>Department of Education</t>
        </is>
      </c>
      <c r="E47" s="3" t="inlineStr">
        <is>
          <t>Institute of Education Sciences (IES): National Center for Special Education Research (NCSER): Transformative Research in Special Education, Assistance Listing Number (ALN) 84.324T</t>
        </is>
      </c>
      <c r="F47" s="3" t="inlineStr">
        <is>
          <t>Institute of Education Sciences (IES): National Center for Special Education Research (NCSER): Transformative Research in Special Education, Assistance Listing Number (ALN) 84.324T</t>
        </is>
      </c>
      <c r="G47" s="2" t="inlineStr">
        <is>
          <t>Riabilitazione</t>
        </is>
      </c>
      <c r="H47" s="2" t="inlineStr">
        <is>
          <t>disabilit</t>
        </is>
      </c>
      <c r="I47" s="2" t="inlineStr">
        <is>
          <t>Non analizzato</t>
        </is>
      </c>
      <c r="J47" s="3" t="n"/>
      <c r="K47" s="4" t="n"/>
      <c r="L47" s="4" t="n">
        <v>3750000</v>
      </c>
      <c r="M47" s="2" t="inlineStr">
        <is>
          <t>USD</t>
        </is>
      </c>
      <c r="N47" s="2" t="n"/>
      <c r="O47" s="3" t="inlineStr">
        <is>
          <t>Non stimabile – dati insufficienti</t>
        </is>
      </c>
      <c r="P47" s="3" t="inlineStr">
        <is>
          <t>Co-finanziamento richiesto (cost sharing)</t>
        </is>
      </c>
      <c r="Q47" s="5" t="n">
        <v>46367</v>
      </c>
      <c r="R47" s="6">
        <f>IF(Q47="","",Q47-TODAY())</f>
        <v/>
      </c>
      <c r="S47" s="5" t="n">
        <v>46311</v>
      </c>
      <c r="T47" s="2" t="n"/>
      <c r="U47" s="2" t="n"/>
      <c r="V47" s="3" t="inlineStr">
        <is>
          <t>Others (see text field entitled "Additional Information on Eligibility" for clarification)</t>
        </is>
      </c>
      <c r="W47" s="3" t="n"/>
      <c r="X47" s="2" t="inlineStr">
        <is>
          <t>Solo enti statunitensi (salvo diversa indicazione)</t>
        </is>
      </c>
      <c r="Y47" s="2" t="inlineStr">
        <is>
          <t>Inglese</t>
        </is>
      </c>
      <c r="Z47" s="7" t="inlineStr">
        <is>
          <t>https://www.grants.gov/search-results-detail/364087</t>
        </is>
      </c>
      <c r="AA47" s="3" t="n"/>
      <c r="AB47" s="2" t="inlineStr">
        <is>
          <t>Aperto</t>
        </is>
      </c>
      <c r="AC47" s="5" t="n">
        <v>46312</v>
      </c>
      <c r="AD47" s="5" t="n">
        <v>46312</v>
      </c>
      <c r="AE47" s="2" t="n"/>
    </row>
    <row r="48">
      <c r="A48" s="2" t="inlineStr">
        <is>
          <t>GG-HHS-2027-ACL-NIDILRR-IFDV-0304</t>
        </is>
      </c>
      <c r="B48" s="2" t="inlineStr">
        <is>
          <t>Grants.gov</t>
        </is>
      </c>
      <c r="C48" s="2" t="inlineStr">
        <is>
          <t>Administration for Community Living – HHS-2027-ACL-NIDILRR-IFDV-0304</t>
        </is>
      </c>
      <c r="D48" s="2" t="inlineStr">
        <is>
          <t>Administration for Community Living</t>
        </is>
      </c>
      <c r="E48" s="3" t="inlineStr">
        <is>
          <t>Field Initiated Projects Program (Development)</t>
        </is>
      </c>
      <c r="F48" s="3" t="inlineStr">
        <is>
          <t>Field Initiated Projects Program (Development)</t>
        </is>
      </c>
      <c r="G48" s="2" t="inlineStr">
        <is>
          <t>Riabilitazione</t>
        </is>
      </c>
      <c r="H48" s="2" t="inlineStr">
        <is>
          <t>disabilit</t>
        </is>
      </c>
      <c r="I48" s="2" t="inlineStr">
        <is>
          <t>Non analizzato</t>
        </is>
      </c>
      <c r="J48" s="3" t="n"/>
      <c r="K48" s="4" t="n">
        <v>2000000</v>
      </c>
      <c r="L48" s="4" t="n">
        <v>250000</v>
      </c>
      <c r="M48" s="2" t="inlineStr">
        <is>
          <t>USD</t>
        </is>
      </c>
      <c r="N48" s="2" t="n">
        <v>8</v>
      </c>
      <c r="O48" s="3" t="inlineStr">
        <is>
          <t>Media – 8 progetti finanziabili (stima: tasso storico non disponibile)</t>
        </is>
      </c>
      <c r="P48" s="3" t="inlineStr">
        <is>
          <t>100% – nessun cost sharing richiesto</t>
        </is>
      </c>
      <c r="Q48" s="5" t="n">
        <v>46370</v>
      </c>
      <c r="R48" s="6">
        <f>IF(Q48="","",Q48-TODAY())</f>
        <v/>
      </c>
      <c r="S48" s="5" t="n">
        <v>46290</v>
      </c>
      <c r="T48" s="2" t="n"/>
      <c r="U48" s="2" t="n"/>
      <c r="V48" s="3" t="inlineStr">
        <is>
          <t>Native American tribal organizations (other than Federally recognized tribal governments); Public and State controlled institutions of higher education; City or township governments; Nonprofits having a 501(c)(3) status with the IRS, other than institutions of higher education; Nonprofits that do not have a 501(c)(3) status with the IRS, other than institutions of higher education; Small businesse</t>
        </is>
      </c>
      <c r="W48" s="3" t="n"/>
      <c r="X48" s="2" t="inlineStr">
        <is>
          <t>Solo enti statunitensi (salvo diversa indicazione)</t>
        </is>
      </c>
      <c r="Y48" s="2" t="inlineStr">
        <is>
          <t>Inglese</t>
        </is>
      </c>
      <c r="Z48" s="7" t="inlineStr">
        <is>
          <t>https://www.grants.gov/search-results-detail/363971</t>
        </is>
      </c>
      <c r="AA48" s="3" t="n"/>
      <c r="AB48" s="2" t="inlineStr">
        <is>
          <t>Aperto</t>
        </is>
      </c>
      <c r="AC48" s="5" t="n">
        <v>46312</v>
      </c>
      <c r="AD48" s="5" t="n">
        <v>46312</v>
      </c>
      <c r="AE48" s="2" t="n"/>
    </row>
    <row r="49">
      <c r="A49" s="2" t="inlineStr">
        <is>
          <t>GG-HHS-2027-ACL-NIDILRR-IFRE-0303</t>
        </is>
      </c>
      <c r="B49" s="2" t="inlineStr">
        <is>
          <t>Grants.gov</t>
        </is>
      </c>
      <c r="C49" s="2" t="inlineStr">
        <is>
          <t>Administration for Community Living – HHS-2027-ACL-NIDILRR-IFRE-0303</t>
        </is>
      </c>
      <c r="D49" s="2" t="inlineStr">
        <is>
          <t>Administration for Community Living</t>
        </is>
      </c>
      <c r="E49" s="3" t="inlineStr">
        <is>
          <t>Field Initiated Projects Program (Research)</t>
        </is>
      </c>
      <c r="F49" s="3" t="inlineStr">
        <is>
          <t>Field Initiated Projects Program (Research)</t>
        </is>
      </c>
      <c r="G49" s="2" t="inlineStr">
        <is>
          <t>Riabilitazione</t>
        </is>
      </c>
      <c r="H49" s="2" t="inlineStr">
        <is>
          <t>disabilit</t>
        </is>
      </c>
      <c r="I49" s="2" t="inlineStr">
        <is>
          <t>Non analizzato</t>
        </is>
      </c>
      <c r="J49" s="3" t="n"/>
      <c r="K49" s="4" t="n">
        <v>2000000</v>
      </c>
      <c r="L49" s="4" t="n">
        <v>250000</v>
      </c>
      <c r="M49" s="2" t="inlineStr">
        <is>
          <t>USD</t>
        </is>
      </c>
      <c r="N49" s="2" t="n">
        <v>8</v>
      </c>
      <c r="O49" s="3" t="inlineStr">
        <is>
          <t>Media – 8 progetti finanziabili (stima: tasso storico non disponibile)</t>
        </is>
      </c>
      <c r="P49" s="3" t="inlineStr">
        <is>
          <t>100% – nessun cost sharing richiesto</t>
        </is>
      </c>
      <c r="Q49" s="5" t="n">
        <v>46370</v>
      </c>
      <c r="R49" s="6">
        <f>IF(Q49="","",Q49-TODAY())</f>
        <v/>
      </c>
      <c r="S49" s="5" t="n">
        <v>46290</v>
      </c>
      <c r="T49" s="2" t="n"/>
      <c r="U49" s="2" t="n"/>
      <c r="V49" s="3" t="inlineStr">
        <is>
          <t>Public and State controlled institutions of higher education; Nonprofits having a 501(c)(3) status with the IRS, other than institutions of higher education; Nonprofits that do not have a 501(c)(3) status with the IRS, other than institutions of higher education; County governments; City or township governments; Native American tribal governments (Federally recognized); Native American tribal orga</t>
        </is>
      </c>
      <c r="W49" s="3" t="n"/>
      <c r="X49" s="2" t="inlineStr">
        <is>
          <t>Solo enti statunitensi (salvo diversa indicazione)</t>
        </is>
      </c>
      <c r="Y49" s="2" t="inlineStr">
        <is>
          <t>Inglese</t>
        </is>
      </c>
      <c r="Z49" s="7" t="inlineStr">
        <is>
          <t>https://www.grants.gov/search-results-detail/363972</t>
        </is>
      </c>
      <c r="AA49" s="3" t="n"/>
      <c r="AB49" s="2" t="inlineStr">
        <is>
          <t>Aperto</t>
        </is>
      </c>
      <c r="AC49" s="5" t="n">
        <v>46312</v>
      </c>
      <c r="AD49" s="5" t="n">
        <v>46312</v>
      </c>
      <c r="AE49" s="2" t="n"/>
    </row>
    <row r="50">
      <c r="A50" s="2" t="inlineStr">
        <is>
          <t>GG-HHS-2027-ACL-NIDILRR-BISA-0308</t>
        </is>
      </c>
      <c r="B50" s="2" t="inlineStr">
        <is>
          <t>Grants.gov</t>
        </is>
      </c>
      <c r="C50" s="2" t="inlineStr">
        <is>
          <t>Administration for Community Living – HHS-2027-ACL-NIDILRR-BISA-0308</t>
        </is>
      </c>
      <c r="D50" s="2" t="inlineStr">
        <is>
          <t>Administration for Community Living</t>
        </is>
      </c>
      <c r="E50" s="3" t="inlineStr">
        <is>
          <t>Small Business Innovation Research (SBIR) program, Phase I</t>
        </is>
      </c>
      <c r="F50" s="3" t="inlineStr">
        <is>
          <t>Small Business Innovation Research (SBIR) program, Phase I</t>
        </is>
      </c>
      <c r="G50" s="2" t="inlineStr">
        <is>
          <t>Riabilitazione</t>
        </is>
      </c>
      <c r="H50" s="2" t="inlineStr">
        <is>
          <t>disabilit</t>
        </is>
      </c>
      <c r="I50" s="2" t="inlineStr">
        <is>
          <t>Non analizzato</t>
        </is>
      </c>
      <c r="J50" s="3" t="n"/>
      <c r="K50" s="4" t="n">
        <v>1100000</v>
      </c>
      <c r="L50" s="4" t="n">
        <v>100000</v>
      </c>
      <c r="M50" s="2" t="inlineStr">
        <is>
          <t>USD</t>
        </is>
      </c>
      <c r="N50" s="2" t="n">
        <v>11</v>
      </c>
      <c r="O50" s="3" t="inlineStr">
        <is>
          <t>Media – 11 progetti finanziabili (stima: tasso storico non disponibile)</t>
        </is>
      </c>
      <c r="P50" s="3" t="inlineStr">
        <is>
          <t>100% – nessun cost sharing richiesto</t>
        </is>
      </c>
      <c r="Q50" s="5" t="n">
        <v>46372</v>
      </c>
      <c r="R50" s="6">
        <f>IF(Q50="","",Q50-TODAY())</f>
        <v/>
      </c>
      <c r="S50" s="5" t="n">
        <v>46290</v>
      </c>
      <c r="T50" s="2" t="n"/>
      <c r="U50" s="2" t="n"/>
      <c r="V50" s="3" t="inlineStr">
        <is>
          <t>Small businesses</t>
        </is>
      </c>
      <c r="W50" s="3" t="n"/>
      <c r="X50" s="2" t="inlineStr">
        <is>
          <t>Solo enti statunitensi (salvo diversa indicazione)</t>
        </is>
      </c>
      <c r="Y50" s="2" t="inlineStr">
        <is>
          <t>Inglese</t>
        </is>
      </c>
      <c r="Z50" s="7" t="inlineStr">
        <is>
          <t>https://www.grants.gov/search-results-detail/363966</t>
        </is>
      </c>
      <c r="AA50" s="3" t="n"/>
      <c r="AB50" s="2" t="inlineStr">
        <is>
          <t>Aperto</t>
        </is>
      </c>
      <c r="AC50" s="5" t="n">
        <v>46312</v>
      </c>
      <c r="AD50" s="5" t="n">
        <v>46312</v>
      </c>
      <c r="AE50" s="2" t="n"/>
    </row>
    <row r="51">
      <c r="A51" s="2" t="inlineStr">
        <is>
          <t>GG-SWMFY27</t>
        </is>
      </c>
      <c r="B51" s="2" t="inlineStr">
        <is>
          <t>Grants.gov</t>
        </is>
      </c>
      <c r="C51" s="2" t="inlineStr">
        <is>
          <t>Rural Utilities Service – SWMFY27</t>
        </is>
      </c>
      <c r="D51" s="2" t="inlineStr">
        <is>
          <t>Rural Utilities Service</t>
        </is>
      </c>
      <c r="E51" s="3" t="inlineStr">
        <is>
          <t>Solid Waste Management Grant Program</t>
        </is>
      </c>
      <c r="F51" s="3" t="inlineStr">
        <is>
          <t>Solid Waste Management Grant Program</t>
        </is>
      </c>
      <c r="G51" s="2" t="inlineStr">
        <is>
          <t>Riabilitazione</t>
        </is>
      </c>
      <c r="H51" s="2" t="inlineStr">
        <is>
          <t>rehabilitat</t>
        </is>
      </c>
      <c r="I51" s="2" t="inlineStr">
        <is>
          <t>Non analizzato</t>
        </is>
      </c>
      <c r="J51" s="3" t="n"/>
      <c r="K51" s="4" t="n">
        <v>4000000</v>
      </c>
      <c r="L51" s="4" t="n">
        <v>1000000</v>
      </c>
      <c r="M51" s="2" t="inlineStr">
        <is>
          <t>USD</t>
        </is>
      </c>
      <c r="N51" s="2" t="n">
        <v>40</v>
      </c>
      <c r="O51" s="3" t="inlineStr">
        <is>
          <t>Alta – 40 progetti finanziabili (stima: tasso storico non disponibile)</t>
        </is>
      </c>
      <c r="P51" s="3" t="inlineStr">
        <is>
          <t>100% – nessun cost sharing richiesto</t>
        </is>
      </c>
      <c r="Q51" s="5" t="n">
        <v>46387</v>
      </c>
      <c r="R51" s="6">
        <f>IF(Q51="","",Q51-TODAY())</f>
        <v/>
      </c>
      <c r="S51" s="5" t="n">
        <v>46296</v>
      </c>
      <c r="T51" s="2" t="n"/>
      <c r="U51" s="2" t="n"/>
      <c r="V51" s="3" t="inlineStr">
        <is>
          <t>Others (see text field entitled "Additional Information on Eligibility" for clarification)</t>
        </is>
      </c>
      <c r="W51" s="3" t="n"/>
      <c r="X51" s="2" t="inlineStr">
        <is>
          <t>Solo enti statunitensi (salvo diversa indicazione)</t>
        </is>
      </c>
      <c r="Y51" s="2" t="inlineStr">
        <is>
          <t>Inglese</t>
        </is>
      </c>
      <c r="Z51" s="7" t="inlineStr">
        <is>
          <t>https://www.grants.gov/search-results-detail/364018</t>
        </is>
      </c>
      <c r="AA51" s="3" t="n"/>
      <c r="AB51" s="2" t="inlineStr">
        <is>
          <t>Aperto</t>
        </is>
      </c>
      <c r="AC51" s="5" t="n">
        <v>46312</v>
      </c>
      <c r="AD51" s="5" t="n">
        <v>46312</v>
      </c>
      <c r="AE51" s="2" t="n"/>
    </row>
    <row r="52">
      <c r="A52" s="2" t="inlineStr">
        <is>
          <t>GG-TAT-FY27</t>
        </is>
      </c>
      <c r="B52" s="2" t="inlineStr">
        <is>
          <t>Grants.gov</t>
        </is>
      </c>
      <c r="C52" s="2" t="inlineStr">
        <is>
          <t>Rural Utilities Service – TAT-FY27</t>
        </is>
      </c>
      <c r="D52" s="2" t="inlineStr">
        <is>
          <t>Rural Utilities Service</t>
        </is>
      </c>
      <c r="E52" s="3" t="inlineStr">
        <is>
          <t>Technical Assistance and Training Grant Program</t>
        </is>
      </c>
      <c r="F52" s="3" t="inlineStr">
        <is>
          <t>Technical Assistance and Training Grant Program</t>
        </is>
      </c>
      <c r="G52" s="2" t="inlineStr">
        <is>
          <t>Riabilitazione</t>
        </is>
      </c>
      <c r="H52" s="2" t="inlineStr">
        <is>
          <t>rehabilitat</t>
        </is>
      </c>
      <c r="I52" s="2" t="inlineStr">
        <is>
          <t>Non analizzato</t>
        </is>
      </c>
      <c r="J52" s="3" t="n"/>
      <c r="K52" s="4" t="n">
        <v>35000000</v>
      </c>
      <c r="L52" s="4" t="n"/>
      <c r="M52" s="2" t="inlineStr">
        <is>
          <t>USD</t>
        </is>
      </c>
      <c r="N52" s="2" t="n">
        <v>40</v>
      </c>
      <c r="O52" s="3" t="inlineStr">
        <is>
          <t>Alta – 40 progetti finanziabili (stima: tasso storico non disponibile)</t>
        </is>
      </c>
      <c r="P52" s="3" t="inlineStr">
        <is>
          <t>100% – nessun cost sharing richiesto</t>
        </is>
      </c>
      <c r="Q52" s="5" t="n">
        <v>46387</v>
      </c>
      <c r="R52" s="6">
        <f>IF(Q52="","",Q52-TODAY())</f>
        <v/>
      </c>
      <c r="S52" s="5" t="n">
        <v>46296</v>
      </c>
      <c r="T52" s="2" t="n"/>
      <c r="U52" s="2" t="n"/>
      <c r="V52" s="3" t="inlineStr">
        <is>
          <t>Nonprofits having a 501(c)(3) status with the IRS, other than institutions of higher education</t>
        </is>
      </c>
      <c r="W52" s="3" t="n"/>
      <c r="X52" s="2" t="inlineStr">
        <is>
          <t>Solo enti statunitensi (salvo diversa indicazione)</t>
        </is>
      </c>
      <c r="Y52" s="2" t="inlineStr">
        <is>
          <t>Inglese</t>
        </is>
      </c>
      <c r="Z52" s="7" t="inlineStr">
        <is>
          <t>https://www.grants.gov/search-results-detail/364019</t>
        </is>
      </c>
      <c r="AA52" s="3" t="n"/>
      <c r="AB52" s="2" t="inlineStr">
        <is>
          <t>Aperto</t>
        </is>
      </c>
      <c r="AC52" s="5" t="n">
        <v>46312</v>
      </c>
      <c r="AD52" s="5" t="n">
        <v>46312</v>
      </c>
      <c r="AE52" s="2" t="n"/>
    </row>
    <row r="53">
      <c r="A53" s="2" t="inlineStr">
        <is>
          <t>EU-HORIZON-EIE-2027-02-CONNECT-01</t>
        </is>
      </c>
      <c r="B53" s="2" t="inlineStr">
        <is>
          <t>EU Funding &amp; Tenders Portal</t>
        </is>
      </c>
      <c r="C53" s="2" t="inlineStr">
        <is>
          <t>Horizon Europe – HORIZON Programme Cofund Actions</t>
        </is>
      </c>
      <c r="D53" s="2" t="inlineStr">
        <is>
          <t>Commissione europea</t>
        </is>
      </c>
      <c r="E53" s="3" t="inlineStr">
        <is>
          <t>European Startup and Scaleup Hubs pilot</t>
        </is>
      </c>
      <c r="F53" s="3" t="inlineStr">
        <is>
          <t>European Startup and Scaleup Hubs pilot</t>
        </is>
      </c>
      <c r="G53" s="2" t="inlineStr">
        <is>
          <t>Tecnologie riabilitazione</t>
        </is>
      </c>
      <c r="H53" s="2" t="inlineStr">
        <is>
          <t>robot</t>
        </is>
      </c>
      <c r="I53" s="2" t="inlineStr">
        <is>
          <t>Non analizzato</t>
        </is>
      </c>
      <c r="J53" s="3" t="n"/>
      <c r="K53" s="4" t="n">
        <v>40000000</v>
      </c>
      <c r="L53" s="4" t="n">
        <v>20000000</v>
      </c>
      <c r="M53" s="2" t="inlineStr">
        <is>
          <t>EUR</t>
        </is>
      </c>
      <c r="N53" s="2" t="n">
        <v>2</v>
      </c>
      <c r="O53" s="3" t="inlineStr">
        <is>
          <t>Bassa – 2 progetti finanziabili (stima: tasso storico non disponibile)</t>
        </is>
      </c>
      <c r="P53" s="3" t="inlineStr">
        <is>
          <t>Co-finanziamento richiesto (azione Cofund: quota UE parziale)</t>
        </is>
      </c>
      <c r="Q53" s="5" t="n">
        <v>46392</v>
      </c>
      <c r="R53" s="6">
        <f>IF(Q53="","",Q53-TODAY())</f>
        <v/>
      </c>
      <c r="S53" s="5" t="n">
        <v>46301</v>
      </c>
      <c r="T53" s="2" t="n"/>
      <c r="U53" s="2" t="n"/>
      <c r="V53" s="3" t="n"/>
      <c r="W53" s="3" t="n"/>
      <c r="X53" s="2" t="inlineStr">
        <is>
          <t>Stati membri UE e paesi associati (altri paesi secondo le condizioni del topic)</t>
        </is>
      </c>
      <c r="Y53" s="2" t="inlineStr">
        <is>
          <t>Inglese</t>
        </is>
      </c>
      <c r="Z53" s="7" t="inlineStr">
        <is>
          <t>https://ec.europa.eu/info/funding-tenders/opportunities/portal/screen/opportunities/topic-details/HORIZON-EIE-2027-02-CONNECT-01</t>
        </is>
      </c>
      <c r="AA53" s="3" t="n"/>
      <c r="AB53" s="2" t="inlineStr">
        <is>
          <t>Aperto</t>
        </is>
      </c>
      <c r="AC53" s="5" t="n">
        <v>46312</v>
      </c>
      <c r="AD53" s="5" t="n">
        <v>46312</v>
      </c>
      <c r="AE53" s="2" t="n"/>
    </row>
    <row r="54">
      <c r="A54" s="2" t="inlineStr">
        <is>
          <t>EU-HORIZON-NATURE-2027-02-04</t>
        </is>
      </c>
      <c r="B54" s="2" t="inlineStr">
        <is>
          <t>EU Funding &amp; Tenders Portal</t>
        </is>
      </c>
      <c r="C54" s="2" t="inlineStr">
        <is>
          <t>Horizon Europe – HORIZON Innovation Actions</t>
        </is>
      </c>
      <c r="D54" s="2" t="inlineStr">
        <is>
          <t>Commissione europea</t>
        </is>
      </c>
      <c r="E54" s="3" t="inlineStr">
        <is>
          <t>Innovative solutions to fight wildlife trafficking and to reduce invasion of invasive alien species</t>
        </is>
      </c>
      <c r="F54" s="3" t="inlineStr">
        <is>
          <t>Innovative solutions to fight wildlife trafficking and to reduce invasion of invasive alien species</t>
        </is>
      </c>
      <c r="G54" s="2" t="inlineStr">
        <is>
          <t>Tecnologie riabilitazione</t>
        </is>
      </c>
      <c r="H54" s="2" t="inlineStr">
        <is>
          <t>robot</t>
        </is>
      </c>
      <c r="I54" s="2" t="inlineStr">
        <is>
          <t>Non analizzato</t>
        </is>
      </c>
      <c r="J54" s="3" t="n"/>
      <c r="K54" s="4" t="n">
        <v>13000000</v>
      </c>
      <c r="L54" s="4" t="n">
        <v>13000000</v>
      </c>
      <c r="M54" s="2" t="inlineStr">
        <is>
          <t>EUR</t>
        </is>
      </c>
      <c r="N54" s="2" t="n">
        <v>1</v>
      </c>
      <c r="O54" s="3" t="inlineStr">
        <is>
          <t>Bassa – 1 progetti finanziabili (stima: tasso storico non disponibile)</t>
        </is>
      </c>
      <c r="P54" s="3" t="inlineStr">
        <is>
          <t>70% per le imprese, 100% per gli enti non profit</t>
        </is>
      </c>
      <c r="Q54" s="5" t="n">
        <v>46401</v>
      </c>
      <c r="R54" s="6">
        <f>IF(Q54="","",Q54-TODAY())</f>
        <v/>
      </c>
      <c r="S54" s="5" t="n">
        <v>46308</v>
      </c>
      <c r="T54" s="2" t="n"/>
      <c r="U54" s="2" t="inlineStr">
        <is>
          <t>Innovazione</t>
        </is>
      </c>
      <c r="V54" s="3" t="n"/>
      <c r="W54" s="3" t="inlineStr">
        <is>
          <t>Consorzio: min. 3 enti indipendenti da 3 paesi UE/associati (regola standard, verificare il topic)</t>
        </is>
      </c>
      <c r="X54" s="2" t="inlineStr">
        <is>
          <t>Stati membri UE e paesi associati (altri paesi secondo le condizioni del topic)</t>
        </is>
      </c>
      <c r="Y54" s="2" t="inlineStr">
        <is>
          <t>Inglese</t>
        </is>
      </c>
      <c r="Z54" s="7" t="inlineStr">
        <is>
          <t>https://ec.europa.eu/info/funding-tenders/opportunities/portal/screen/opportunities/topic-details/HORIZON-NATURE-2027-02-04</t>
        </is>
      </c>
      <c r="AA54" s="3" t="n"/>
      <c r="AB54" s="2" t="inlineStr">
        <is>
          <t>Aperto</t>
        </is>
      </c>
      <c r="AC54" s="5" t="n">
        <v>46312</v>
      </c>
      <c r="AD54" s="5" t="n">
        <v>46312</v>
      </c>
      <c r="AE54" s="2" t="n"/>
    </row>
    <row r="55">
      <c r="A55" s="2" t="inlineStr">
        <is>
          <t>GG-24-587</t>
        </is>
      </c>
      <c r="B55" s="2" t="inlineStr">
        <is>
          <t>Grants.gov</t>
        </is>
      </c>
      <c r="C55" s="2" t="inlineStr">
        <is>
          <t>U.S. National Science Foundation – 24-587</t>
        </is>
      </c>
      <c r="D55" s="2" t="inlineStr">
        <is>
          <t>U.S. National Science Foundation</t>
        </is>
      </c>
      <c r="E55" s="3" t="inlineStr">
        <is>
          <t>Research on the Science and Technology Enterprise: Indicators, Statistics, and Methods (NCSES S&amp;amp;T)</t>
        </is>
      </c>
      <c r="F55" s="3" t="inlineStr">
        <is>
          <t>Research on the Science and Technology Enterprise: Indicators, Statistics, and Methods (NCSES S&amp;amp;T)</t>
        </is>
      </c>
      <c r="G55" s="2" t="inlineStr">
        <is>
          <t>Riabilitazione</t>
        </is>
      </c>
      <c r="H55" s="2" t="inlineStr">
        <is>
          <t>persons with disabilities</t>
        </is>
      </c>
      <c r="I55" s="2" t="inlineStr">
        <is>
          <t>Non analizzato</t>
        </is>
      </c>
      <c r="J55" s="3" t="n"/>
      <c r="K55" s="4" t="n">
        <v>1500000</v>
      </c>
      <c r="L55" s="4" t="n"/>
      <c r="M55" s="2" t="inlineStr">
        <is>
          <t>USD</t>
        </is>
      </c>
      <c r="N55" s="2" t="n">
        <v>10</v>
      </c>
      <c r="O55" s="3" t="inlineStr">
        <is>
          <t>Media – 10 progetti finanziabili (stima: tasso storico non disponibile)</t>
        </is>
      </c>
      <c r="P55" s="3" t="inlineStr">
        <is>
          <t>100% – nessun cost sharing richiesto</t>
        </is>
      </c>
      <c r="Q55" s="5" t="n">
        <v>46406</v>
      </c>
      <c r="R55" s="6">
        <f>IF(Q55="","",Q55-TODAY())</f>
        <v/>
      </c>
      <c r="S55" s="5" t="n">
        <v>45474</v>
      </c>
      <c r="T55" s="2" t="n"/>
      <c r="U55" s="2" t="n"/>
      <c r="V55" s="3" t="inlineStr">
        <is>
          <t>Others (see text field entitled "Additional Information on Eligibility" for clarification)</t>
        </is>
      </c>
      <c r="W55" s="3" t="n"/>
      <c r="X55" s="2" t="inlineStr">
        <is>
          <t>Solo enti statunitensi (salvo diversa indicazione)</t>
        </is>
      </c>
      <c r="Y55" s="2" t="inlineStr">
        <is>
          <t>Inglese</t>
        </is>
      </c>
      <c r="Z55" s="7" t="inlineStr">
        <is>
          <t>https://www.grants.gov/search-results-detail/355219</t>
        </is>
      </c>
      <c r="AA55" s="3" t="n"/>
      <c r="AB55" s="2" t="inlineStr">
        <is>
          <t>Aperto</t>
        </is>
      </c>
      <c r="AC55" s="5" t="n">
        <v>46312</v>
      </c>
      <c r="AD55" s="5" t="n">
        <v>46312</v>
      </c>
      <c r="AE55" s="2" t="n"/>
    </row>
    <row r="56">
      <c r="A56" s="2" t="inlineStr">
        <is>
          <t>WEB-14a8635c6be7</t>
        </is>
      </c>
      <c r="B56" s="2" t="inlineStr">
        <is>
          <t>Foundation for Physical Therapy Research</t>
        </is>
      </c>
      <c r="C56" s="2" t="inlineStr">
        <is>
          <t>Promotion of Doctoral Studies Scholarships</t>
        </is>
      </c>
      <c r="D56" s="2" t="inlineStr">
        <is>
          <t>Foundation for Physical Therapy Research</t>
        </is>
      </c>
      <c r="E56" s="3" t="inlineStr">
        <is>
          <t>Promotion of Doctoral Studies Scholarships</t>
        </is>
      </c>
      <c r="F56" s="3" t="inlineStr">
        <is>
          <t>Promotion of Doctoral Studies Scholarships</t>
        </is>
      </c>
      <c r="G56" s="2" t="inlineStr">
        <is>
          <t>Invecchiamento</t>
        </is>
      </c>
      <c r="H56" s="2" t="inlineStr">
        <is>
          <t>geriatr, physical therap</t>
        </is>
      </c>
      <c r="I56" s="2" t="inlineStr">
        <is>
          <t>Non analizzato</t>
        </is>
      </c>
      <c r="J56" s="3" t="n"/>
      <c r="K56" s="4" t="n">
        <v>7500</v>
      </c>
      <c r="L56" s="4" t="n"/>
      <c r="M56" s="2" t="inlineStr">
        <is>
          <t>USD</t>
        </is>
      </c>
      <c r="N56" s="2" t="n"/>
      <c r="O56" s="3" t="inlineStr">
        <is>
          <t>Non stimabile – dati insufficienti</t>
        </is>
      </c>
      <c r="P56" s="3" t="inlineStr">
        <is>
          <t>Non indicato</t>
        </is>
      </c>
      <c r="Q56" s="5" t="n">
        <v>46407</v>
      </c>
      <c r="R56" s="6">
        <f>IF(Q56="","",Q56-TODAY())</f>
        <v/>
      </c>
      <c r="S56" s="5" t="n"/>
      <c r="T56" s="2" t="n"/>
      <c r="U56" s="2" t="n"/>
      <c r="V56" s="3" t="n"/>
      <c r="W56" s="3" t="n"/>
      <c r="X56" s="2" t="inlineStr">
        <is>
          <t>USA</t>
        </is>
      </c>
      <c r="Y56" s="2" t="inlineStr">
        <is>
          <t>Inglese</t>
        </is>
      </c>
      <c r="Z56" s="7" t="inlineStr">
        <is>
          <t>https://foundation4pt.org/foundation-funding-opportunities/scholarships/</t>
        </is>
      </c>
      <c r="AA56" s="3" t="n"/>
      <c r="AB56" s="2" t="inlineStr">
        <is>
          <t>Aperto</t>
        </is>
      </c>
      <c r="AC56" s="5" t="n">
        <v>46312</v>
      </c>
      <c r="AD56" s="5" t="n">
        <v>46312</v>
      </c>
      <c r="AE56" s="2" t="n"/>
    </row>
    <row r="57">
      <c r="A57" s="2" t="inlineStr">
        <is>
          <t>EU-HORIZON-JU-EUROHPC-2026-QML-07-01</t>
        </is>
      </c>
      <c r="B57" s="2" t="inlineStr">
        <is>
          <t>EU Funding &amp; Tenders Portal</t>
        </is>
      </c>
      <c r="C57" s="2" t="inlineStr">
        <is>
          <t>Horizon Europe – HORIZON JU Research and Innovation Actions</t>
        </is>
      </c>
      <c r="D57" s="2" t="inlineStr">
        <is>
          <t>Commissione europea</t>
        </is>
      </c>
      <c r="E57" s="3" t="inlineStr">
        <is>
          <t>Quantum Machine Learning</t>
        </is>
      </c>
      <c r="F57" s="3" t="inlineStr">
        <is>
          <t>Quantum Machine Learning</t>
        </is>
      </c>
      <c r="G57" s="2" t="inlineStr">
        <is>
          <t>Tecnologie riabilitazione</t>
        </is>
      </c>
      <c r="H57" s="2" t="inlineStr">
        <is>
          <t>robot</t>
        </is>
      </c>
      <c r="I57" s="2" t="inlineStr">
        <is>
          <t>Non analizzato</t>
        </is>
      </c>
      <c r="J57" s="3" t="n"/>
      <c r="K57" s="4" t="n">
        <v>6000000</v>
      </c>
      <c r="L57" s="4" t="n">
        <v>3000000</v>
      </c>
      <c r="M57" s="2" t="inlineStr">
        <is>
          <t>EUR</t>
        </is>
      </c>
      <c r="N57" s="2" t="n">
        <v>2</v>
      </c>
      <c r="O57" s="3" t="inlineStr">
        <is>
          <t>Bassa – 2 progetti finanziabili (stima: tasso storico non disponibile)</t>
        </is>
      </c>
      <c r="P57" s="3" t="inlineStr">
        <is>
          <t>100% – finanziato per intero</t>
        </is>
      </c>
      <c r="Q57" s="5" t="n">
        <v>46415</v>
      </c>
      <c r="R57" s="6">
        <f>IF(Q57="","",Q57-TODAY())</f>
        <v/>
      </c>
      <c r="S57" s="5" t="n">
        <v>46175</v>
      </c>
      <c r="T57" s="2" t="n"/>
      <c r="U57" s="2" t="inlineStr">
        <is>
          <t>Ricerca</t>
        </is>
      </c>
      <c r="V57" s="3" t="n"/>
      <c r="W57" s="3" t="inlineStr">
        <is>
          <t>Consorzio: min. 3 enti indipendenti da 3 paesi UE/associati (regola standard, verificare il topic)</t>
        </is>
      </c>
      <c r="X57" s="2" t="inlineStr">
        <is>
          <t>Stati membri UE e paesi associati (altri paesi secondo le condizioni del topic)</t>
        </is>
      </c>
      <c r="Y57" s="2" t="inlineStr">
        <is>
          <t>Inglese</t>
        </is>
      </c>
      <c r="Z57" s="7" t="inlineStr">
        <is>
          <t>https://ec.europa.eu/info/funding-tenders/opportunities/portal/screen/opportunities/topic-details/HORIZON-JU-EUROHPC-2026-QML-07-01</t>
        </is>
      </c>
      <c r="AA57" s="3" t="n"/>
      <c r="AB57" s="2" t="inlineStr">
        <is>
          <t>Aperto</t>
        </is>
      </c>
      <c r="AC57" s="5" t="n">
        <v>46312</v>
      </c>
      <c r="AD57" s="5" t="n">
        <v>46312</v>
      </c>
      <c r="AE57" s="2" t="n"/>
    </row>
    <row r="58">
      <c r="A58" s="2" t="inlineStr">
        <is>
          <t>GG-24-544</t>
        </is>
      </c>
      <c r="B58" s="2" t="inlineStr">
        <is>
          <t>Grants.gov</t>
        </is>
      </c>
      <c r="C58" s="2" t="inlineStr">
        <is>
          <t>U.S. National Science Foundation – 24-544</t>
        </is>
      </c>
      <c r="D58" s="2" t="inlineStr">
        <is>
          <t>U.S. National Science Foundation</t>
        </is>
      </c>
      <c r="E58" s="3" t="inlineStr">
        <is>
          <t>Developmental Sciences (DS)</t>
        </is>
      </c>
      <c r="F58" s="3" t="inlineStr">
        <is>
          <t>Developmental Sciences (DS)</t>
        </is>
      </c>
      <c r="G58" s="2" t="inlineStr">
        <is>
          <t>Invecchiamento</t>
        </is>
      </c>
      <c r="H58" s="2" t="inlineStr">
        <is>
          <t>aging</t>
        </is>
      </c>
      <c r="I58" s="2" t="inlineStr">
        <is>
          <t>Non analizzato</t>
        </is>
      </c>
      <c r="J58" s="3" t="n"/>
      <c r="K58" s="4" t="n">
        <v>6500000</v>
      </c>
      <c r="L58" s="4" t="n"/>
      <c r="M58" s="2" t="inlineStr">
        <is>
          <t>USD</t>
        </is>
      </c>
      <c r="N58" s="2" t="n"/>
      <c r="O58" s="3" t="inlineStr">
        <is>
          <t>Non stimabile – dati insufficienti</t>
        </is>
      </c>
      <c r="P58" s="3" t="inlineStr">
        <is>
          <t>100% – nessun cost sharing richiesto</t>
        </is>
      </c>
      <c r="Q58" s="5" t="n">
        <v>46419</v>
      </c>
      <c r="R58" s="6">
        <f>IF(Q58="","",Q58-TODAY())</f>
        <v/>
      </c>
      <c r="S58" s="5" t="n">
        <v>45337</v>
      </c>
      <c r="T58" s="2" t="n"/>
      <c r="U58" s="2" t="n"/>
      <c r="V58" s="3" t="inlineStr">
        <is>
          <t>Others (see text field entitled "Additional Information on Eligibility" for clarification)</t>
        </is>
      </c>
      <c r="W58" s="3" t="n"/>
      <c r="X58" s="2" t="inlineStr">
        <is>
          <t>Solo enti statunitensi (salvo diversa indicazione)</t>
        </is>
      </c>
      <c r="Y58" s="2" t="inlineStr">
        <is>
          <t>Inglese</t>
        </is>
      </c>
      <c r="Z58" s="7" t="inlineStr">
        <is>
          <t>https://www.grants.gov/search-results-detail/352455</t>
        </is>
      </c>
      <c r="AA58" s="3" t="n"/>
      <c r="AB58" s="2" t="inlineStr">
        <is>
          <t>Aperto</t>
        </is>
      </c>
      <c r="AC58" s="5" t="n">
        <v>46312</v>
      </c>
      <c r="AD58" s="5" t="n">
        <v>46312</v>
      </c>
      <c r="AE58" s="2" t="n"/>
    </row>
    <row r="59">
      <c r="A59" s="2" t="inlineStr">
        <is>
          <t>GG-HHS-2027-ACL-NIDILRR-BISB-0309</t>
        </is>
      </c>
      <c r="B59" s="2" t="inlineStr">
        <is>
          <t>Grants.gov</t>
        </is>
      </c>
      <c r="C59" s="2" t="inlineStr">
        <is>
          <t>Administration for Community Living – HHS-2027-ACL-NIDILRR-BISB-0309</t>
        </is>
      </c>
      <c r="D59" s="2" t="inlineStr">
        <is>
          <t>Administration for Community Living</t>
        </is>
      </c>
      <c r="E59" s="3" t="inlineStr">
        <is>
          <t>Small Business Innovation Research Program (SBIR) Phase II</t>
        </is>
      </c>
      <c r="F59" s="3" t="inlineStr">
        <is>
          <t>Small Business Innovation Research Program (SBIR) Phase II</t>
        </is>
      </c>
      <c r="G59" s="2" t="inlineStr">
        <is>
          <t>Riabilitazione</t>
        </is>
      </c>
      <c r="H59" s="2" t="inlineStr">
        <is>
          <t>disabilit</t>
        </is>
      </c>
      <c r="I59" s="2" t="inlineStr">
        <is>
          <t>Non analizzato</t>
        </is>
      </c>
      <c r="J59" s="3" t="n"/>
      <c r="K59" s="4" t="n">
        <v>1150000</v>
      </c>
      <c r="L59" s="4" t="n">
        <v>287500</v>
      </c>
      <c r="M59" s="2" t="inlineStr">
        <is>
          <t>USD</t>
        </is>
      </c>
      <c r="N59" s="2" t="n">
        <v>4</v>
      </c>
      <c r="O59" s="3" t="inlineStr">
        <is>
          <t>Bassa – 4 progetti finanziabili (stima: tasso storico non disponibile)</t>
        </is>
      </c>
      <c r="P59" s="3" t="inlineStr">
        <is>
          <t>100% – nessun cost sharing richiesto</t>
        </is>
      </c>
      <c r="Q59" s="5" t="n">
        <v>46419</v>
      </c>
      <c r="R59" s="6">
        <f>IF(Q59="","",Q59-TODAY())</f>
        <v/>
      </c>
      <c r="S59" s="5" t="n">
        <v>46290</v>
      </c>
      <c r="T59" s="2" t="n"/>
      <c r="U59" s="2" t="n"/>
      <c r="V59" s="3" t="inlineStr">
        <is>
          <t>Small businesses</t>
        </is>
      </c>
      <c r="W59" s="3" t="n"/>
      <c r="X59" s="2" t="inlineStr">
        <is>
          <t>Solo enti statunitensi (salvo diversa indicazione)</t>
        </is>
      </c>
      <c r="Y59" s="2" t="inlineStr">
        <is>
          <t>Inglese</t>
        </is>
      </c>
      <c r="Z59" s="7" t="inlineStr">
        <is>
          <t>https://www.grants.gov/search-results-detail/363967</t>
        </is>
      </c>
      <c r="AA59" s="3" t="n"/>
      <c r="AB59" s="2" t="inlineStr">
        <is>
          <t>Aperto</t>
        </is>
      </c>
      <c r="AC59" s="5" t="n">
        <v>46312</v>
      </c>
      <c r="AD59" s="5" t="n">
        <v>46312</v>
      </c>
      <c r="AE59" s="2" t="n"/>
    </row>
    <row r="60">
      <c r="A60" s="2" t="inlineStr">
        <is>
          <t>GG-PD-24-1699</t>
        </is>
      </c>
      <c r="B60" s="2" t="inlineStr">
        <is>
          <t>Grants.gov</t>
        </is>
      </c>
      <c r="C60" s="2" t="inlineStr">
        <is>
          <t>U.S. National Science Foundation – PD-24-1699</t>
        </is>
      </c>
      <c r="D60" s="2" t="inlineStr">
        <is>
          <t>U.S. National Science Foundation</t>
        </is>
      </c>
      <c r="E60" s="3" t="inlineStr">
        <is>
          <t>Cognitive Neuroscience (CogNeuro)</t>
        </is>
      </c>
      <c r="F60" s="3" t="inlineStr">
        <is>
          <t>Cognitive Neuroscience (CogNeuro)</t>
        </is>
      </c>
      <c r="G60" s="2" t="inlineStr">
        <is>
          <t>Tecnologie riabilitazione</t>
        </is>
      </c>
      <c r="H60" s="2" t="inlineStr">
        <is>
          <t>tms</t>
        </is>
      </c>
      <c r="I60" s="2" t="inlineStr">
        <is>
          <t>Non analizzato</t>
        </is>
      </c>
      <c r="J60" s="3" t="n"/>
      <c r="K60" s="4" t="n"/>
      <c r="L60" s="4" t="n"/>
      <c r="M60" s="2" t="inlineStr">
        <is>
          <t>USD</t>
        </is>
      </c>
      <c r="N60" s="2" t="n">
        <v>25</v>
      </c>
      <c r="O60" s="3" t="inlineStr">
        <is>
          <t>Alta – 25 progetti finanziabili (stima: tasso storico non disponibile)</t>
        </is>
      </c>
      <c r="P60" s="3" t="inlineStr">
        <is>
          <t>100% – nessun cost sharing richiesto</t>
        </is>
      </c>
      <c r="Q60" s="5" t="n">
        <v>46419</v>
      </c>
      <c r="R60" s="6">
        <f>IF(Q60="","",Q60-TODAY())</f>
        <v/>
      </c>
      <c r="S60" s="5" t="n">
        <v>45211</v>
      </c>
      <c r="T60" s="2" t="n"/>
      <c r="U60" s="2" t="n"/>
      <c r="V60" s="3" t="inlineStr">
        <is>
          <t>Unrestricted (i.e., open to any type of entity above), subject to any clarification in text field entitled "Additional Information on Eligibility"</t>
        </is>
      </c>
      <c r="W60" s="3" t="n"/>
      <c r="X60" s="2" t="inlineStr">
        <is>
          <t>Solo enti statunitensi (salvo diversa indicazione)</t>
        </is>
      </c>
      <c r="Y60" s="2" t="inlineStr">
        <is>
          <t>Inglese</t>
        </is>
      </c>
      <c r="Z60" s="7" t="inlineStr">
        <is>
          <t>https://www.grants.gov/search-results-detail/350561</t>
        </is>
      </c>
      <c r="AA60" s="3" t="n"/>
      <c r="AB60" s="2" t="inlineStr">
        <is>
          <t>Aperto</t>
        </is>
      </c>
      <c r="AC60" s="5" t="n">
        <v>46312</v>
      </c>
      <c r="AD60" s="5" t="n">
        <v>46312</v>
      </c>
      <c r="AE60" s="2" t="n"/>
    </row>
    <row r="61">
      <c r="A61" s="2" t="inlineStr">
        <is>
          <t>EU-HORIZON-CL4-2027-02-DIGITAL-EMERGING-52-two-stage</t>
        </is>
      </c>
      <c r="B61" s="2" t="inlineStr">
        <is>
          <t>EU Funding &amp; Tenders Portal</t>
        </is>
      </c>
      <c r="C61" s="2" t="inlineStr">
        <is>
          <t>Horizon Europe – HORIZON  Research and Innovation Actions</t>
        </is>
      </c>
      <c r="D61" s="2" t="inlineStr">
        <is>
          <t>Commissione europea</t>
        </is>
      </c>
      <c r="E61" s="3" t="inlineStr">
        <is>
          <t>New approaches for Human/AI collaboration for the workforce of the future (RIA) (Made in Europe and AI, Data and Robotics partnerships)</t>
        </is>
      </c>
      <c r="F61" s="3" t="inlineStr">
        <is>
          <t>New approaches for Human/AI collaboration for the workforce of the future (RIA) (Made in Europe and AI, Data and Robotics partnerships)</t>
        </is>
      </c>
      <c r="G61" s="2" t="inlineStr">
        <is>
          <t>Tecnologie riabilitazione</t>
        </is>
      </c>
      <c r="H61" s="2" t="inlineStr">
        <is>
          <t>persons with disabilities, robot</t>
        </is>
      </c>
      <c r="I61" s="2" t="inlineStr">
        <is>
          <t>Non analizzato</t>
        </is>
      </c>
      <c r="J61" s="3" t="n"/>
      <c r="K61" s="4" t="n">
        <v>30000000</v>
      </c>
      <c r="L61" s="4" t="n">
        <v>6000000</v>
      </c>
      <c r="M61" s="2" t="inlineStr">
        <is>
          <t>EUR</t>
        </is>
      </c>
      <c r="N61" s="2" t="n">
        <v>5</v>
      </c>
      <c r="O61" s="3" t="inlineStr">
        <is>
          <t>Media – 5 progetti finanziabili (stima: tasso storico non disponibile)</t>
        </is>
      </c>
      <c r="P61" s="3" t="inlineStr">
        <is>
          <t>100% – finanziato per intero</t>
        </is>
      </c>
      <c r="Q61" s="5" t="n">
        <v>46420</v>
      </c>
      <c r="R61" s="6">
        <f>IF(Q61="","",Q61-TODAY())</f>
        <v/>
      </c>
      <c r="S61" s="5" t="n">
        <v>46308</v>
      </c>
      <c r="T61" s="2" t="n"/>
      <c r="U61" s="2" t="inlineStr">
        <is>
          <t>Ricerca</t>
        </is>
      </c>
      <c r="V61" s="3" t="n"/>
      <c r="W61" s="3" t="inlineStr">
        <is>
          <t>Consorzio: min. 3 enti indipendenti da 3 paesi UE/associati (regola standard, verificare il topic)</t>
        </is>
      </c>
      <c r="X61" s="2" t="inlineStr">
        <is>
          <t>Stati membri UE e paesi associati (altri paesi secondo le condizioni del topic)</t>
        </is>
      </c>
      <c r="Y61" s="2" t="inlineStr">
        <is>
          <t>Inglese</t>
        </is>
      </c>
      <c r="Z61" s="7" t="inlineStr">
        <is>
          <t>https://ec.europa.eu/info/funding-tenders/opportunities/portal/screen/opportunities/topic-details/HORIZON-CL4-2027-02-DIGITAL-EMERGING-52-two-stage</t>
        </is>
      </c>
      <c r="AA61" s="3" t="n"/>
      <c r="AB61" s="2" t="inlineStr">
        <is>
          <t>Aperto</t>
        </is>
      </c>
      <c r="AC61" s="5" t="n">
        <v>46312</v>
      </c>
      <c r="AD61" s="5" t="n">
        <v>46312</v>
      </c>
      <c r="AE61" s="2" t="n"/>
    </row>
    <row r="62">
      <c r="A62" s="2" t="inlineStr">
        <is>
          <t>GG-RFA-AT-27-002</t>
        </is>
      </c>
      <c r="B62" s="2" t="inlineStr">
        <is>
          <t>Grants.gov</t>
        </is>
      </c>
      <c r="C62" s="2" t="inlineStr">
        <is>
          <t>National Institutes of Health – RFA-AT-27-002</t>
        </is>
      </c>
      <c r="D62" s="2" t="inlineStr">
        <is>
          <t>National Institutes of Health</t>
        </is>
      </c>
      <c r="E62" s="3" t="inlineStr">
        <is>
          <t>Establishing a Research Network to Guide Foundational Research on Human Consciousness</t>
        </is>
      </c>
      <c r="F62" s="3" t="inlineStr">
        <is>
          <t>Establishing a Research Network to Guide Foundational Research on Human Consciousness</t>
        </is>
      </c>
      <c r="G62" s="2" t="inlineStr">
        <is>
          <t>Ictus, Invecchiamento, Tecnologie riabilitazione</t>
        </is>
      </c>
      <c r="H62" s="2" t="inlineStr">
        <is>
          <t>stroke, traumatic brain injur, dementi, alzheimer, neurostimulat</t>
        </is>
      </c>
      <c r="I62" s="2" t="inlineStr">
        <is>
          <t>Non analizzato</t>
        </is>
      </c>
      <c r="J62" s="3" t="n"/>
      <c r="K62" s="4" t="n">
        <v>600000</v>
      </c>
      <c r="L62" s="4" t="n"/>
      <c r="M62" s="2" t="inlineStr">
        <is>
          <t>USD</t>
        </is>
      </c>
      <c r="N62" s="2" t="n">
        <v>1</v>
      </c>
      <c r="O62" s="3" t="inlineStr">
        <is>
          <t>Bassa – 1 progetti finanziabili (stima: tasso storico non disponibile)</t>
        </is>
      </c>
      <c r="P62" s="3" t="inlineStr">
        <is>
          <t>100% – nessun cost sharing richiesto</t>
        </is>
      </c>
      <c r="Q62" s="5" t="n">
        <v>46426</v>
      </c>
      <c r="R62" s="6">
        <f>IF(Q62="","",Q62-TODAY())</f>
        <v/>
      </c>
      <c r="S62" s="5" t="n">
        <v>46140</v>
      </c>
      <c r="T62" s="2" t="n"/>
      <c r="U62" s="2" t="n"/>
      <c r="V62" s="3" t="inlineStr">
        <is>
          <t>Others (see text field entitled "Additional Information on Eligibility" for clarification); Independent school districts; Public and State controlled institutions of higher education; Native American tribal organizations (other than Federally recognized tribal governments); Native American tribal governments (Federally recognized); For profit organizations other than small businesses; State govern</t>
        </is>
      </c>
      <c r="W62" s="3" t="n"/>
      <c r="X62" s="2" t="inlineStr">
        <is>
          <t>Solo enti statunitensi (salvo diversa indicazione)</t>
        </is>
      </c>
      <c r="Y62" s="2" t="inlineStr">
        <is>
          <t>Inglese</t>
        </is>
      </c>
      <c r="Z62" s="7" t="inlineStr">
        <is>
          <t>https://www.grants.gov/search-results-detail/362097</t>
        </is>
      </c>
      <c r="AA62" s="3" t="n"/>
      <c r="AB62" s="2" t="inlineStr">
        <is>
          <t>Aperto</t>
        </is>
      </c>
      <c r="AC62" s="5" t="n">
        <v>46312</v>
      </c>
      <c r="AD62" s="5" t="n">
        <v>46312</v>
      </c>
      <c r="AE62" s="2" t="n"/>
    </row>
    <row r="63">
      <c r="A63" s="2" t="inlineStr">
        <is>
          <t>GG-RFA-OH-27-044</t>
        </is>
      </c>
      <c r="B63" s="2" t="inlineStr">
        <is>
          <t>Grants.gov</t>
        </is>
      </c>
      <c r="C63" s="2" t="inlineStr">
        <is>
          <t>Centers for Disease Control and Prevention - ERA – RFA-OH-27-044</t>
        </is>
      </c>
      <c r="D63" s="2" t="inlineStr">
        <is>
          <t>Centers for Disease Control and Prevention - ERA</t>
        </is>
      </c>
      <c r="E63" s="3" t="inlineStr">
        <is>
          <t>NIOSH Robotics and Intelligent Mining Technology and Workplace Safety Research (U60)</t>
        </is>
      </c>
      <c r="F63" s="3" t="inlineStr">
        <is>
          <t>NIOSH Robotics and Intelligent Mining Technology and Workplace Safety Research (U60)</t>
        </is>
      </c>
      <c r="G63" s="2" t="inlineStr">
        <is>
          <t>Tecnologie riabilitazione</t>
        </is>
      </c>
      <c r="H63" s="2" t="inlineStr">
        <is>
          <t>robot</t>
        </is>
      </c>
      <c r="I63" s="2" t="inlineStr">
        <is>
          <t>Non analizzato</t>
        </is>
      </c>
      <c r="J63" s="3" t="n"/>
      <c r="K63" s="4" t="n">
        <v>10000000</v>
      </c>
      <c r="L63" s="4" t="n">
        <v>2000000</v>
      </c>
      <c r="M63" s="2" t="inlineStr">
        <is>
          <t>USD</t>
        </is>
      </c>
      <c r="N63" s="2" t="n">
        <v>2</v>
      </c>
      <c r="O63" s="3" t="inlineStr">
        <is>
          <t>Bassa – 2 progetti finanziabili (stima: tasso storico non disponibile)</t>
        </is>
      </c>
      <c r="P63" s="3" t="inlineStr">
        <is>
          <t>100% – nessun cost sharing richiesto</t>
        </is>
      </c>
      <c r="Q63" s="5" t="n">
        <v>46426</v>
      </c>
      <c r="R63" s="6">
        <f>IF(Q63="","",Q63-TODAY())</f>
        <v/>
      </c>
      <c r="S63" s="5" t="n">
        <v>46225</v>
      </c>
      <c r="T63" s="2" t="n"/>
      <c r="U63" s="2" t="n"/>
      <c r="V63" s="3" t="inlineStr">
        <is>
          <t>Private institutions of higher education; Special district governments; Unrestricted (i.e., open to any type of entity above), subject to any clarification in text field entitled "Additional Information on Eligibility"; City or township governments; Public housing authorities/Indian housing authorities; Native American tribal governments (Federally recognized); Public and State controlled institut</t>
        </is>
      </c>
      <c r="W63" s="3" t="n"/>
      <c r="X63" s="2" t="inlineStr">
        <is>
          <t>Solo enti statunitensi (salvo diversa indicazione)</t>
        </is>
      </c>
      <c r="Y63" s="2" t="inlineStr">
        <is>
          <t>Inglese</t>
        </is>
      </c>
      <c r="Z63" s="7" t="inlineStr">
        <is>
          <t>https://www.grants.gov/search-results-detail/363292</t>
        </is>
      </c>
      <c r="AA63" s="3" t="n"/>
      <c r="AB63" s="2" t="inlineStr">
        <is>
          <t>Aperto</t>
        </is>
      </c>
      <c r="AC63" s="5" t="n">
        <v>46312</v>
      </c>
      <c r="AD63" s="5" t="n">
        <v>46312</v>
      </c>
      <c r="AE63" s="2" t="n"/>
    </row>
    <row r="64">
      <c r="A64" s="2" t="inlineStr">
        <is>
          <t>GG-24-598</t>
        </is>
      </c>
      <c r="B64" s="2" t="inlineStr">
        <is>
          <t>Grants.gov</t>
        </is>
      </c>
      <c r="C64" s="2" t="inlineStr">
        <is>
          <t>U.S. National Science Foundation – 24-598</t>
        </is>
      </c>
      <c r="D64" s="2" t="inlineStr">
        <is>
          <t>U.S. National Science Foundation</t>
        </is>
      </c>
      <c r="E64" s="3" t="inlineStr">
        <is>
          <t>Mid-scale Research Infrastructure-1</t>
        </is>
      </c>
      <c r="F64" s="3" t="inlineStr">
        <is>
          <t>Mid-scale Research Infrastructure-1</t>
        </is>
      </c>
      <c r="G64" s="2" t="inlineStr">
        <is>
          <t>Riabilitazione</t>
        </is>
      </c>
      <c r="H64" s="2" t="inlineStr">
        <is>
          <t>persons with disabilities</t>
        </is>
      </c>
      <c r="I64" s="2" t="inlineStr">
        <is>
          <t>Non analizzato</t>
        </is>
      </c>
      <c r="J64" s="3" t="n"/>
      <c r="K64" s="4" t="n">
        <v>100000000</v>
      </c>
      <c r="L64" s="4" t="n">
        <v>19999999</v>
      </c>
      <c r="M64" s="2" t="inlineStr">
        <is>
          <t>USD</t>
        </is>
      </c>
      <c r="N64" s="2" t="n">
        <v>10</v>
      </c>
      <c r="O64" s="3" t="inlineStr">
        <is>
          <t>Media – 10 progetti finanziabili (stima: tasso storico non disponibile)</t>
        </is>
      </c>
      <c r="P64" s="3" t="inlineStr">
        <is>
          <t>100% – nessun cost sharing richiesto</t>
        </is>
      </c>
      <c r="Q64" s="5" t="n">
        <v>46426</v>
      </c>
      <c r="R64" s="6">
        <f>IF(Q64="","",Q64-TODAY())</f>
        <v/>
      </c>
      <c r="S64" s="5" t="n">
        <v>45524</v>
      </c>
      <c r="T64" s="2" t="n"/>
      <c r="U64" s="2" t="n"/>
      <c r="V64" s="3" t="inlineStr">
        <is>
          <t>Others (see text field entitled "Additional Information on Eligibility" for clarification)</t>
        </is>
      </c>
      <c r="W64" s="3" t="n"/>
      <c r="X64" s="2" t="inlineStr">
        <is>
          <t>Solo enti statunitensi (salvo diversa indicazione)</t>
        </is>
      </c>
      <c r="Y64" s="2" t="inlineStr">
        <is>
          <t>Inglese</t>
        </is>
      </c>
      <c r="Z64" s="7" t="inlineStr">
        <is>
          <t>https://www.grants.gov/search-results-detail/356129</t>
        </is>
      </c>
      <c r="AA64" s="3" t="n"/>
      <c r="AB64" s="2" t="inlineStr">
        <is>
          <t>Aperto</t>
        </is>
      </c>
      <c r="AC64" s="5" t="n">
        <v>46312</v>
      </c>
      <c r="AD64" s="5" t="n">
        <v>46312</v>
      </c>
      <c r="AE64" s="2" t="n"/>
    </row>
    <row r="65">
      <c r="A65" s="2" t="inlineStr">
        <is>
          <t>GG-25-514</t>
        </is>
      </c>
      <c r="B65" s="2" t="inlineStr">
        <is>
          <t>Grants.gov</t>
        </is>
      </c>
      <c r="C65" s="2" t="inlineStr">
        <is>
          <t>U.S. National Science Foundation – 25-514</t>
        </is>
      </c>
      <c r="D65" s="2" t="inlineStr">
        <is>
          <t>U.S. National Science Foundation</t>
        </is>
      </c>
      <c r="E65" s="3" t="inlineStr">
        <is>
          <t>NSF Scholarships in Science, Technology, Engineering, and Mathematics (S-STEM)</t>
        </is>
      </c>
      <c r="F65" s="3" t="inlineStr">
        <is>
          <t>NSF Scholarships in Science, Technology, Engineering, and Mathematics (S-STEM)</t>
        </is>
      </c>
      <c r="G65" s="2" t="inlineStr">
        <is>
          <t>Riabilitazione</t>
        </is>
      </c>
      <c r="H65" s="2" t="inlineStr">
        <is>
          <t>physical therap</t>
        </is>
      </c>
      <c r="I65" s="2" t="inlineStr">
        <is>
          <t>Non analizzato</t>
        </is>
      </c>
      <c r="J65" s="3" t="n"/>
      <c r="K65" s="4" t="n">
        <v>120000000</v>
      </c>
      <c r="L65" s="4" t="n">
        <v>5000000</v>
      </c>
      <c r="M65" s="2" t="inlineStr">
        <is>
          <t>USD</t>
        </is>
      </c>
      <c r="N65" s="2" t="n">
        <v>60</v>
      </c>
      <c r="O65" s="3" t="inlineStr">
        <is>
          <t>Alta – 60 progetti finanziabili (stima: tasso storico non disponibile)</t>
        </is>
      </c>
      <c r="P65" s="3" t="inlineStr">
        <is>
          <t>100% – nessun cost sharing richiesto</t>
        </is>
      </c>
      <c r="Q65" s="5" t="n">
        <v>46448</v>
      </c>
      <c r="R65" s="6">
        <f>IF(Q65="","",Q65-TODAY())</f>
        <v/>
      </c>
      <c r="S65" s="5" t="n">
        <v>45629</v>
      </c>
      <c r="T65" s="2" t="n"/>
      <c r="U65" s="2" t="n"/>
      <c r="V65" s="3" t="inlineStr">
        <is>
          <t>Others (see text field entitled "Additional Information on Eligibility" for clarification)</t>
        </is>
      </c>
      <c r="W65" s="3" t="n"/>
      <c r="X65" s="2" t="inlineStr">
        <is>
          <t>Solo enti statunitensi (salvo diversa indicazione)</t>
        </is>
      </c>
      <c r="Y65" s="2" t="inlineStr">
        <is>
          <t>Inglese</t>
        </is>
      </c>
      <c r="Z65" s="7" t="inlineStr">
        <is>
          <t>https://www.grants.gov/search-results-detail/357498</t>
        </is>
      </c>
      <c r="AA65" s="3" t="n"/>
      <c r="AB65" s="2" t="inlineStr">
        <is>
          <t>Aperto</t>
        </is>
      </c>
      <c r="AC65" s="5" t="n">
        <v>46312</v>
      </c>
      <c r="AD65" s="5" t="n">
        <v>46312</v>
      </c>
      <c r="AE65" s="2" t="n"/>
    </row>
    <row r="66">
      <c r="A66" s="2" t="inlineStr">
        <is>
          <t>GG-RFA-OH-27-047</t>
        </is>
      </c>
      <c r="B66" s="2" t="inlineStr">
        <is>
          <t>Grants.gov</t>
        </is>
      </c>
      <c r="C66" s="2" t="inlineStr">
        <is>
          <t>Centers for Disease Control and Prevention - ERA – RFA-OH-27-047</t>
        </is>
      </c>
      <c r="D66" s="2" t="inlineStr">
        <is>
          <t>Centers for Disease Control and Prevention - ERA</t>
        </is>
      </c>
      <c r="E66" s="3" t="inlineStr">
        <is>
          <t>NIOSH Centers for Agriculture, Forestry, and Fishing Safety and Health (U54)</t>
        </is>
      </c>
      <c r="F66" s="3" t="inlineStr">
        <is>
          <t>NIOSH Centers for Agriculture, Forestry, and Fishing Safety and Health (U54)</t>
        </is>
      </c>
      <c r="G66" s="2" t="inlineStr">
        <is>
          <t>Riabilitazione</t>
        </is>
      </c>
      <c r="H66" s="2" t="inlineStr">
        <is>
          <t>disabilit</t>
        </is>
      </c>
      <c r="I66" s="2" t="inlineStr">
        <is>
          <t>Non analizzato</t>
        </is>
      </c>
      <c r="J66" s="3" t="n"/>
      <c r="K66" s="4" t="n">
        <v>110000000</v>
      </c>
      <c r="L66" s="4" t="n">
        <v>2200000</v>
      </c>
      <c r="M66" s="2" t="inlineStr">
        <is>
          <t>USD</t>
        </is>
      </c>
      <c r="N66" s="2" t="n">
        <v>12</v>
      </c>
      <c r="O66" s="3" t="inlineStr">
        <is>
          <t>Media – 12 progetti finanziabili (stima: tasso storico non disponibile)</t>
        </is>
      </c>
      <c r="P66" s="3" t="inlineStr">
        <is>
          <t>100% – nessun cost sharing richiesto</t>
        </is>
      </c>
      <c r="Q66" s="5" t="n">
        <v>46449</v>
      </c>
      <c r="R66" s="6">
        <f>IF(Q66="","",Q66-TODAY())</f>
        <v/>
      </c>
      <c r="S66" s="5" t="n">
        <v>46218</v>
      </c>
      <c r="T66" s="2" t="n"/>
      <c r="U66" s="2" t="n"/>
      <c r="V66" s="3" t="inlineStr">
        <is>
          <t>City or township governments; Native American tribal governments (Federally recognized); County governments; Public and State controlled institutions of higher education; Nonprofits having a 501(c)(3) status with the IRS, other than institutions of higher education; Nonprofits that do not have a 501(c)(3) status with the IRS, other than institutions of higher education; Special district government</t>
        </is>
      </c>
      <c r="W66" s="3" t="n"/>
      <c r="X66" s="2" t="inlineStr">
        <is>
          <t>Solo enti statunitensi (salvo diversa indicazione)</t>
        </is>
      </c>
      <c r="Y66" s="2" t="inlineStr">
        <is>
          <t>Inglese</t>
        </is>
      </c>
      <c r="Z66" s="7" t="inlineStr">
        <is>
          <t>https://www.grants.gov/search-results-detail/363195</t>
        </is>
      </c>
      <c r="AA66" s="3" t="n"/>
      <c r="AB66" s="2" t="inlineStr">
        <is>
          <t>Aperto</t>
        </is>
      </c>
      <c r="AC66" s="5" t="n">
        <v>46312</v>
      </c>
      <c r="AD66" s="5" t="n">
        <v>46312</v>
      </c>
      <c r="AE66" s="2" t="n"/>
    </row>
    <row r="67">
      <c r="A67" s="2" t="inlineStr">
        <is>
          <t>GG-RFA-NS-28-001</t>
        </is>
      </c>
      <c r="B67" s="2" t="inlineStr">
        <is>
          <t>Grants.gov</t>
        </is>
      </c>
      <c r="C67" s="2" t="inlineStr">
        <is>
          <t>National Institutes of Health – RFA-NS-28-001</t>
        </is>
      </c>
      <c r="D67" s="2" t="inlineStr">
        <is>
          <t>National Institutes of Health</t>
        </is>
      </c>
      <c r="E67" s="3" t="inlineStr">
        <is>
          <t>Strategies to Innovate EmeRgENcy Care Clinical Trials Network (SIREN) Infrastructure &amp;ndash; Clinical Coordinating Center (CCC) and Data Coordinating Center (DCC)</t>
        </is>
      </c>
      <c r="F67" s="3" t="inlineStr">
        <is>
          <t>Strategies to Innovate EmeRgENcy Care Clinical Trials Network (SIREN) Infrastructure &amp;ndash; Clinical Coordinating Center (CCC) and Data Coordinating Center (DCC)</t>
        </is>
      </c>
      <c r="G67" s="2" t="inlineStr">
        <is>
          <t>Ictus</t>
        </is>
      </c>
      <c r="H67" s="2" t="inlineStr">
        <is>
          <t>stroke</t>
        </is>
      </c>
      <c r="I67" s="2" t="inlineStr">
        <is>
          <t>Non analizzato</t>
        </is>
      </c>
      <c r="J67" s="3" t="n"/>
      <c r="K67" s="4" t="n"/>
      <c r="L67" s="4" t="n"/>
      <c r="M67" s="2" t="inlineStr">
        <is>
          <t>USD</t>
        </is>
      </c>
      <c r="N67" s="2" t="n">
        <v>2</v>
      </c>
      <c r="O67" s="3" t="inlineStr">
        <is>
          <t>Bassa – 2 progetti finanziabili (stima: tasso storico non disponibile)</t>
        </is>
      </c>
      <c r="P67" s="3" t="inlineStr">
        <is>
          <t>100% – nessun cost sharing richiesto</t>
        </is>
      </c>
      <c r="Q67" s="5" t="n">
        <v>46450</v>
      </c>
      <c r="R67" s="6">
        <f>IF(Q67="","",Q67-TODAY())</f>
        <v/>
      </c>
      <c r="S67" s="5" t="n">
        <v>46247</v>
      </c>
      <c r="T67" s="2" t="n"/>
      <c r="U67" s="2" t="n"/>
      <c r="V67" s="3" t="inlineStr">
        <is>
          <t>State governments; Independent school districts; Public housing authorities/Indian housing authorities; Special district governments; Public and State controlled institutions of higher education; Nonprofits having a 501(c)(3) status with the IRS, other than institutions of higher education; Small businesses; Others (see text field entitled "Additional Information on Eligibility" for clarification)</t>
        </is>
      </c>
      <c r="W67" s="3" t="n"/>
      <c r="X67" s="2" t="inlineStr">
        <is>
          <t>Solo enti statunitensi (salvo diversa indicazione)</t>
        </is>
      </c>
      <c r="Y67" s="2" t="inlineStr">
        <is>
          <t>Inglese</t>
        </is>
      </c>
      <c r="Z67" s="7" t="inlineStr">
        <is>
          <t>https://www.grants.gov/search-results-detail/363555</t>
        </is>
      </c>
      <c r="AA67" s="3" t="n"/>
      <c r="AB67" s="2" t="inlineStr">
        <is>
          <t>Aperto</t>
        </is>
      </c>
      <c r="AC67" s="5" t="n">
        <v>46312</v>
      </c>
      <c r="AD67" s="5" t="n">
        <v>46312</v>
      </c>
      <c r="AE67" s="2" t="n"/>
    </row>
    <row r="68">
      <c r="A68" s="2" t="inlineStr">
        <is>
          <t>GG-PAR-27-109</t>
        </is>
      </c>
      <c r="B68" s="2" t="inlineStr">
        <is>
          <t>Grants.gov</t>
        </is>
      </c>
      <c r="C68" s="2" t="inlineStr">
        <is>
          <t>National Institutes of Health – PAR-27-109</t>
        </is>
      </c>
      <c r="D68" s="2" t="inlineStr">
        <is>
          <t>National Institutes of Health</t>
        </is>
      </c>
      <c r="E68" s="3" t="inlineStr">
        <is>
          <t>Exploratory Clinical Trial Grants in Arthritis and Musculoskeletal and Skin Diseases</t>
        </is>
      </c>
      <c r="F68" s="3" t="inlineStr">
        <is>
          <t>Exploratory Clinical Trial Grants in Arthritis and Musculoskeletal and Skin Diseases</t>
        </is>
      </c>
      <c r="G68" s="2" t="inlineStr">
        <is>
          <t>Riabilitazione</t>
        </is>
      </c>
      <c r="H68" s="2" t="inlineStr">
        <is>
          <t>physical therap</t>
        </is>
      </c>
      <c r="I68" s="2" t="inlineStr">
        <is>
          <t>Non analizzato</t>
        </is>
      </c>
      <c r="J68" s="3" t="n"/>
      <c r="K68" s="4" t="n"/>
      <c r="L68" s="4" t="n">
        <v>600000</v>
      </c>
      <c r="M68" s="2" t="inlineStr">
        <is>
          <t>USD</t>
        </is>
      </c>
      <c r="N68" s="2" t="n">
        <v>4</v>
      </c>
      <c r="O68" s="3" t="inlineStr">
        <is>
          <t>Bassa – 4 progetti finanziabili (stima: tasso storico non disponibile)</t>
        </is>
      </c>
      <c r="P68" s="3" t="inlineStr">
        <is>
          <t>100% – nessun cost sharing richiesto</t>
        </is>
      </c>
      <c r="Q68" s="5" t="n">
        <v>46450</v>
      </c>
      <c r="R68" s="6">
        <f>IF(Q68="","",Q68-TODAY())</f>
        <v/>
      </c>
      <c r="S68" s="5" t="n">
        <v>46183</v>
      </c>
      <c r="T68" s="2" t="n"/>
      <c r="U68" s="2" t="n"/>
      <c r="V68" s="3" t="inlineStr">
        <is>
          <t>Others (see text field entitled "Additional Information on Eligibility" for clarification); County governments; For profit organizations other than small businesses; Small businesses; Special district governments; Native American tribal organizations (other than Federally recognized tribal governments); Public and State controlled institutions of higher education; State governments; Independent sc</t>
        </is>
      </c>
      <c r="W68" s="3" t="n"/>
      <c r="X68" s="2" t="inlineStr">
        <is>
          <t>Solo enti statunitensi (salvo diversa indicazione)</t>
        </is>
      </c>
      <c r="Y68" s="2" t="inlineStr">
        <is>
          <t>Inglese</t>
        </is>
      </c>
      <c r="Z68" s="7" t="inlineStr">
        <is>
          <t>https://www.grants.gov/search-results-detail/362752</t>
        </is>
      </c>
      <c r="AA68" s="3" t="n"/>
      <c r="AB68" s="2" t="inlineStr">
        <is>
          <t>Aperto</t>
        </is>
      </c>
      <c r="AC68" s="5" t="n">
        <v>46312</v>
      </c>
      <c r="AD68" s="5" t="n">
        <v>46312</v>
      </c>
      <c r="AE68" s="2" t="n"/>
    </row>
    <row r="69">
      <c r="A69" s="2" t="inlineStr">
        <is>
          <t>GG-PAR-27-081</t>
        </is>
      </c>
      <c r="B69" s="2" t="inlineStr">
        <is>
          <t>Grants.gov</t>
        </is>
      </c>
      <c r="C69" s="2" t="inlineStr">
        <is>
          <t>National Institutes of Health – PAR-27-081</t>
        </is>
      </c>
      <c r="D69" s="2" t="inlineStr">
        <is>
          <t>National Institutes of Health</t>
        </is>
      </c>
      <c r="E69" s="3" t="inlineStr">
        <is>
          <t>Discovery of in vivo Chemical Probes for the Nervous System (R01 Clinical Trial Not Allowed)</t>
        </is>
      </c>
      <c r="F69" s="3" t="inlineStr">
        <is>
          <t>Discovery of in vivo Chemical Probes for the Nervous System (R01 Clinical Trial Not Allowed)</t>
        </is>
      </c>
      <c r="G69" s="2" t="inlineStr">
        <is>
          <t>Invecchiamento</t>
        </is>
      </c>
      <c r="H69" s="2" t="inlineStr">
        <is>
          <t>aging</t>
        </is>
      </c>
      <c r="I69" s="2" t="inlineStr">
        <is>
          <t>Non analizzato</t>
        </is>
      </c>
      <c r="J69" s="3" t="n"/>
      <c r="K69" s="4" t="n"/>
      <c r="L69" s="4" t="n"/>
      <c r="M69" s="2" t="inlineStr">
        <is>
          <t>USD</t>
        </is>
      </c>
      <c r="N69" s="2" t="n"/>
      <c r="O69" s="3" t="inlineStr">
        <is>
          <t>Non stimabile – dati insufficienti</t>
        </is>
      </c>
      <c r="P69" s="3" t="inlineStr">
        <is>
          <t>100% – nessun cost sharing richiesto</t>
        </is>
      </c>
      <c r="Q69" s="5" t="n">
        <v>46451</v>
      </c>
      <c r="R69" s="6">
        <f>IF(Q69="","",Q69-TODAY())</f>
        <v/>
      </c>
      <c r="S69" s="5" t="n">
        <v>46146</v>
      </c>
      <c r="T69" s="2" t="n"/>
      <c r="U69" s="2" t="n"/>
      <c r="V69" s="3" t="inlineStr">
        <is>
          <t>Nonprofits having a 501(c)(3) status with the IRS, other than institutions of higher education; State governments; Private institutions of higher education; Others (see text field entitled "Additional Information on Eligibility" for clarification); Small businesses; Independent school districts; Public housing authorities/Indian housing authorities; Native American tribal organizations (other than</t>
        </is>
      </c>
      <c r="W69" s="3" t="n"/>
      <c r="X69" s="2" t="inlineStr">
        <is>
          <t>Solo enti statunitensi (salvo diversa indicazione)</t>
        </is>
      </c>
      <c r="Y69" s="2" t="inlineStr">
        <is>
          <t>Inglese</t>
        </is>
      </c>
      <c r="Z69" s="7" t="inlineStr">
        <is>
          <t>https://www.grants.gov/search-results-detail/360676</t>
        </is>
      </c>
      <c r="AA69" s="3" t="n"/>
      <c r="AB69" s="2" t="inlineStr">
        <is>
          <t>Aperto</t>
        </is>
      </c>
      <c r="AC69" s="5" t="n">
        <v>46312</v>
      </c>
      <c r="AD69" s="5" t="n">
        <v>46312</v>
      </c>
      <c r="AE69" s="2" t="n"/>
    </row>
    <row r="70">
      <c r="A70" s="2" t="inlineStr">
        <is>
          <t>GG-CDC-RFA-CE-27-0039</t>
        </is>
      </c>
      <c r="B70" s="2" t="inlineStr">
        <is>
          <t>Grants.gov</t>
        </is>
      </c>
      <c r="C70" s="2" t="inlineStr">
        <is>
          <t>Centers for Disease Control - NCIPC – CDC-RFA-CE-27-0039</t>
        </is>
      </c>
      <c r="D70" s="2" t="inlineStr">
        <is>
          <t>Centers for Disease Control - NCIPC</t>
        </is>
      </c>
      <c r="E70" s="3" t="inlineStr">
        <is>
          <t>Core State Injury Prevention Program (Core SIPP)</t>
        </is>
      </c>
      <c r="F70" s="3" t="inlineStr">
        <is>
          <t>Core State Injury Prevention Program (Core SIPP)</t>
        </is>
      </c>
      <c r="G70" s="2" t="inlineStr">
        <is>
          <t>Ictus</t>
        </is>
      </c>
      <c r="H70" s="2" t="inlineStr">
        <is>
          <t>traumatic brain injur</t>
        </is>
      </c>
      <c r="I70" s="2" t="inlineStr">
        <is>
          <t>Non analizzato</t>
        </is>
      </c>
      <c r="J70" s="3" t="n"/>
      <c r="K70" s="4" t="n">
        <v>37000000</v>
      </c>
      <c r="L70" s="4" t="n"/>
      <c r="M70" s="2" t="inlineStr">
        <is>
          <t>USD</t>
        </is>
      </c>
      <c r="N70" s="2" t="n">
        <v>26</v>
      </c>
      <c r="O70" s="3" t="inlineStr">
        <is>
          <t>Alta – 26 progetti finanziabili (stima: tasso storico non disponibile)</t>
        </is>
      </c>
      <c r="P70" s="3" t="inlineStr">
        <is>
          <t>100% – nessun cost sharing richiesto</t>
        </is>
      </c>
      <c r="Q70" s="5" t="n">
        <v>46454</v>
      </c>
      <c r="R70" s="6">
        <f>IF(Q70="","",Q70-TODAY())</f>
        <v/>
      </c>
      <c r="S70" s="5" t="n">
        <v>46233</v>
      </c>
      <c r="T70" s="2" t="n"/>
      <c r="U70" s="2" t="n"/>
      <c r="V70" s="3" t="inlineStr">
        <is>
          <t>City or township governments; Native American tribal organizations (other than Federally recognized tribal governments); Independent school districts; For profit organizations other than small businesses; Public housing authorities/Indian housing authorities; Special district governments; Small businesses; State governments; Public and State controlled institutions of higher education; County gove</t>
        </is>
      </c>
      <c r="W70" s="3" t="n"/>
      <c r="X70" s="2" t="inlineStr">
        <is>
          <t>Solo enti statunitensi (salvo diversa indicazione)</t>
        </is>
      </c>
      <c r="Y70" s="2" t="inlineStr">
        <is>
          <t>Inglese</t>
        </is>
      </c>
      <c r="Z70" s="7" t="inlineStr">
        <is>
          <t>https://www.grants.gov/search-results-detail/363398</t>
        </is>
      </c>
      <c r="AA70" s="3" t="n"/>
      <c r="AB70" s="2" t="inlineStr">
        <is>
          <t>Aperto</t>
        </is>
      </c>
      <c r="AC70" s="5" t="n">
        <v>46312</v>
      </c>
      <c r="AD70" s="5" t="n">
        <v>46312</v>
      </c>
      <c r="AE70" s="2" t="n"/>
    </row>
    <row r="71">
      <c r="A71" s="2" t="inlineStr">
        <is>
          <t>GG-HHS-2027-ACL-NIDILRR-DPKT-0310</t>
        </is>
      </c>
      <c r="B71" s="2" t="inlineStr">
        <is>
          <t>Grants.gov</t>
        </is>
      </c>
      <c r="C71" s="2" t="inlineStr">
        <is>
          <t>Administration for Community Living – HHS-2027-ACL-NIDILRR-DPKT-0310</t>
        </is>
      </c>
      <c r="D71" s="2" t="inlineStr">
        <is>
          <t>Administration for Community Living</t>
        </is>
      </c>
      <c r="E71" s="3" t="inlineStr">
        <is>
          <t>Center on Knowledge Translation for Disability and Rehabilitation Research</t>
        </is>
      </c>
      <c r="F71" s="3" t="inlineStr">
        <is>
          <t>Center on Knowledge Translation for Disability and Rehabilitation Research</t>
        </is>
      </c>
      <c r="G71" s="2" t="inlineStr">
        <is>
          <t>Riabilitazione</t>
        </is>
      </c>
      <c r="H71" s="2" t="inlineStr">
        <is>
          <t>rehabilitat, disabilit</t>
        </is>
      </c>
      <c r="I71" s="2" t="inlineStr">
        <is>
          <t>Non analizzato</t>
        </is>
      </c>
      <c r="J71" s="3" t="n"/>
      <c r="K71" s="4" t="n">
        <v>800000</v>
      </c>
      <c r="L71" s="4" t="n">
        <v>800000</v>
      </c>
      <c r="M71" s="2" t="inlineStr">
        <is>
          <t>USD</t>
        </is>
      </c>
      <c r="N71" s="2" t="n">
        <v>1</v>
      </c>
      <c r="O71" s="3" t="inlineStr">
        <is>
          <t>Bassa – 1 progetti finanziabili (stima: tasso storico non disponibile)</t>
        </is>
      </c>
      <c r="P71" s="3" t="inlineStr">
        <is>
          <t>100% – nessun cost sharing richiesto</t>
        </is>
      </c>
      <c r="Q71" s="5" t="n">
        <v>46461</v>
      </c>
      <c r="R71" s="6">
        <f>IF(Q71="","",Q71-TODAY())</f>
        <v/>
      </c>
      <c r="S71" s="5" t="n">
        <v>46290</v>
      </c>
      <c r="T71" s="2" t="n"/>
      <c r="U71" s="2" t="n"/>
      <c r="V71" s="3" t="inlineStr">
        <is>
          <t>Native American tribal organizations (other than Federally recognized tribal governments); For profit organizations other than small businesses; County governments; Native American tribal governments (Federally recognized); State governments; Special district governments; Small businesses; Nonprofits that do not have a 501(c)(3) status with the IRS, other than institutions of higher education; Pub</t>
        </is>
      </c>
      <c r="W71" s="3" t="n"/>
      <c r="X71" s="2" t="inlineStr">
        <is>
          <t>Solo enti statunitensi (salvo diversa indicazione)</t>
        </is>
      </c>
      <c r="Y71" s="2" t="inlineStr">
        <is>
          <t>Inglese</t>
        </is>
      </c>
      <c r="Z71" s="7" t="inlineStr">
        <is>
          <t>https://www.grants.gov/search-results-detail/363969</t>
        </is>
      </c>
      <c r="AA71" s="3" t="n"/>
      <c r="AB71" s="2" t="inlineStr">
        <is>
          <t>Aperto</t>
        </is>
      </c>
      <c r="AC71" s="5" t="n">
        <v>46312</v>
      </c>
      <c r="AD71" s="5" t="n">
        <v>46312</v>
      </c>
      <c r="AE71" s="2" t="n"/>
    </row>
    <row r="72">
      <c r="A72" s="2" t="inlineStr">
        <is>
          <t>GG-RFA-DP-27-030</t>
        </is>
      </c>
      <c r="B72" s="2" t="inlineStr">
        <is>
          <t>Grants.gov</t>
        </is>
      </c>
      <c r="C72" s="2" t="inlineStr">
        <is>
          <t>Centers for Disease Control and Prevention - ERA – RFA-DP-27-030</t>
        </is>
      </c>
      <c r="D72" s="2" t="inlineStr">
        <is>
          <t>Centers for Disease Control and Prevention - ERA</t>
        </is>
      </c>
      <c r="E72" s="3" t="inlineStr">
        <is>
          <t>Health Promotion and Disease Prevention Research Centers:  2027 Special Interest Project Supplements (SIPS)</t>
        </is>
      </c>
      <c r="F72" s="3" t="inlineStr">
        <is>
          <t>Health Promotion and Disease Prevention Research Centers:  2027 Special Interest Project Supplements (SIPS)</t>
        </is>
      </c>
      <c r="G72" s="2" t="inlineStr">
        <is>
          <t>Riabilitazione</t>
        </is>
      </c>
      <c r="H72" s="2" t="inlineStr">
        <is>
          <t>disabilit</t>
        </is>
      </c>
      <c r="I72" s="2" t="inlineStr">
        <is>
          <t>Non analizzato</t>
        </is>
      </c>
      <c r="J72" s="3" t="n"/>
      <c r="K72" s="4" t="n">
        <v>11700000</v>
      </c>
      <c r="L72" s="4" t="n">
        <v>600000</v>
      </c>
      <c r="M72" s="2" t="inlineStr">
        <is>
          <t>USD</t>
        </is>
      </c>
      <c r="N72" s="2" t="n">
        <v>14</v>
      </c>
      <c r="O72" s="3" t="inlineStr">
        <is>
          <t>Media – 14 progetti finanziabili (stima: tasso storico non disponibile)</t>
        </is>
      </c>
      <c r="P72" s="3" t="inlineStr">
        <is>
          <t>100% – nessun cost sharing richiesto</t>
        </is>
      </c>
      <c r="Q72" s="5" t="n">
        <v>46469</v>
      </c>
      <c r="R72" s="6">
        <f>IF(Q72="","",Q72-TODAY())</f>
        <v/>
      </c>
      <c r="S72" s="5" t="n">
        <v>46231</v>
      </c>
      <c r="T72" s="2" t="n"/>
      <c r="U72" s="2" t="n"/>
      <c r="V72" s="3" t="inlineStr">
        <is>
          <t>Others (see text field entitled "Additional Information on Eligibility" for clarification)</t>
        </is>
      </c>
      <c r="W72" s="3" t="n"/>
      <c r="X72" s="2" t="inlineStr">
        <is>
          <t>Solo enti statunitensi (salvo diversa indicazione)</t>
        </is>
      </c>
      <c r="Y72" s="2" t="inlineStr">
        <is>
          <t>Inglese</t>
        </is>
      </c>
      <c r="Z72" s="7" t="inlineStr">
        <is>
          <t>https://www.grants.gov/search-results-detail/363341</t>
        </is>
      </c>
      <c r="AA72" s="3" t="n"/>
      <c r="AB72" s="2" t="inlineStr">
        <is>
          <t>Aperto</t>
        </is>
      </c>
      <c r="AC72" s="5" t="n">
        <v>46312</v>
      </c>
      <c r="AD72" s="5" t="n">
        <v>46312</v>
      </c>
      <c r="AE72" s="2" t="n"/>
    </row>
    <row r="73">
      <c r="A73" s="2" t="inlineStr">
        <is>
          <t>GG-HHS-2027-ACL-NIDILRR-RTCP-0315</t>
        </is>
      </c>
      <c r="B73" s="2" t="inlineStr">
        <is>
          <t>Grants.gov</t>
        </is>
      </c>
      <c r="C73" s="2" t="inlineStr">
        <is>
          <t>Administration for Community Living – HHS-2027-ACL-NIDILRR-RTCP-0315</t>
        </is>
      </c>
      <c r="D73" s="2" t="inlineStr">
        <is>
          <t>Administration for Community Living</t>
        </is>
      </c>
      <c r="E73" s="3" t="inlineStr">
        <is>
          <t>Rehabilitation Research and Training Center (RRTC): National Research Center for Parents with Disabilities</t>
        </is>
      </c>
      <c r="F73" s="3" t="inlineStr">
        <is>
          <t>Rehabilitation Research and Training Center (RRTC): National Research Center for Parents with Disabilities</t>
        </is>
      </c>
      <c r="G73" s="2" t="inlineStr">
        <is>
          <t>Riabilitazione</t>
        </is>
      </c>
      <c r="H73" s="2" t="inlineStr">
        <is>
          <t>rehabilitat, disabilit</t>
        </is>
      </c>
      <c r="I73" s="2" t="inlineStr">
        <is>
          <t>Non analizzato</t>
        </is>
      </c>
      <c r="J73" s="3" t="n"/>
      <c r="K73" s="4" t="n">
        <v>925000</v>
      </c>
      <c r="L73" s="4" t="n">
        <v>925000</v>
      </c>
      <c r="M73" s="2" t="inlineStr">
        <is>
          <t>USD</t>
        </is>
      </c>
      <c r="N73" s="2" t="n">
        <v>1</v>
      </c>
      <c r="O73" s="3" t="inlineStr">
        <is>
          <t>Bassa – 1 progetti finanziabili (stima: tasso storico non disponibile)</t>
        </is>
      </c>
      <c r="P73" s="3" t="inlineStr">
        <is>
          <t>100% – nessun cost sharing richiesto</t>
        </is>
      </c>
      <c r="Q73" s="5" t="n">
        <v>46472</v>
      </c>
      <c r="R73" s="6">
        <f>IF(Q73="","",Q73-TODAY())</f>
        <v/>
      </c>
      <c r="S73" s="5" t="n">
        <v>46290</v>
      </c>
      <c r="T73" s="2" t="n"/>
      <c r="U73" s="2" t="n"/>
      <c r="V73" s="3" t="inlineStr">
        <is>
          <t>Native American tribal governments (Federally recognized); Nonprofits having a 501(c)(3) status with the IRS, other than institutions of higher education; County governments; City or township governments; Special district governments; Others (see text field entitled "Additional Information on Eligibility" for clarification); State governments; Nonprofits that do not have a 501(c)(3) status with th</t>
        </is>
      </c>
      <c r="W73" s="3" t="n"/>
      <c r="X73" s="2" t="inlineStr">
        <is>
          <t>Solo enti statunitensi (salvo diversa indicazione)</t>
        </is>
      </c>
      <c r="Y73" s="2" t="inlineStr">
        <is>
          <t>Inglese</t>
        </is>
      </c>
      <c r="Z73" s="7" t="inlineStr">
        <is>
          <t>https://www.grants.gov/search-results-detail/363975</t>
        </is>
      </c>
      <c r="AA73" s="3" t="n"/>
      <c r="AB73" s="2" t="inlineStr">
        <is>
          <t>Aperto</t>
        </is>
      </c>
      <c r="AC73" s="5" t="n">
        <v>46312</v>
      </c>
      <c r="AD73" s="5" t="n">
        <v>46312</v>
      </c>
      <c r="AE73" s="2" t="n"/>
    </row>
    <row r="74">
      <c r="A74" s="2" t="inlineStr">
        <is>
          <t>GG-HHS-2027-ACL-NIDILRR-DPTB-0311</t>
        </is>
      </c>
      <c r="B74" s="2" t="inlineStr">
        <is>
          <t>Grants.gov</t>
        </is>
      </c>
      <c r="C74" s="2" t="inlineStr">
        <is>
          <t>Administration for Community Living – HHS-2027-ACL-NIDILRR-DPTB-0311</t>
        </is>
      </c>
      <c r="D74" s="2" t="inlineStr">
        <is>
          <t>Administration for Community Living</t>
        </is>
      </c>
      <c r="E74" s="3" t="inlineStr">
        <is>
          <t>Traumatic Brain Injury Model Systems Centers</t>
        </is>
      </c>
      <c r="F74" s="3" t="inlineStr">
        <is>
          <t>Traumatic Brain Injury Model Systems Centers</t>
        </is>
      </c>
      <c r="G74" s="2" t="inlineStr">
        <is>
          <t>Ictus</t>
        </is>
      </c>
      <c r="H74" s="2" t="inlineStr">
        <is>
          <t>traumatic brain injur, rehabilitat</t>
        </is>
      </c>
      <c r="I74" s="2" t="inlineStr">
        <is>
          <t>Non analizzato</t>
        </is>
      </c>
      <c r="J74" s="3" t="n"/>
      <c r="K74" s="4" t="n">
        <v>8450000</v>
      </c>
      <c r="L74" s="4" t="n">
        <v>640000</v>
      </c>
      <c r="M74" s="2" t="inlineStr">
        <is>
          <t>USD</t>
        </is>
      </c>
      <c r="N74" s="2" t="n">
        <v>14</v>
      </c>
      <c r="O74" s="3" t="inlineStr">
        <is>
          <t>Media – 14 progetti finanziabili (stima: tasso storico non disponibile)</t>
        </is>
      </c>
      <c r="P74" s="3" t="inlineStr">
        <is>
          <t>100% – nessun cost sharing richiesto</t>
        </is>
      </c>
      <c r="Q74" s="5" t="n">
        <v>46478</v>
      </c>
      <c r="R74" s="6">
        <f>IF(Q74="","",Q74-TODAY())</f>
        <v/>
      </c>
      <c r="S74" s="5" t="n">
        <v>46290</v>
      </c>
      <c r="T74" s="2" t="n"/>
      <c r="U74" s="2" t="n"/>
      <c r="V74" s="3" t="inlineStr">
        <is>
          <t xml:space="preserve">State governments; Special district governments; Others (see text field entitled "Additional Information on Eligibility" for clarification); Private institutions of higher education; For profit organizations other than small businesses; City or township governments; Small businesses; Nonprofits having a 501(c)(3) status with the IRS, other than institutions of higher education; Nonprofits that do </t>
        </is>
      </c>
      <c r="W74" s="3" t="n"/>
      <c r="X74" s="2" t="inlineStr">
        <is>
          <t>Solo enti statunitensi (salvo diversa indicazione)</t>
        </is>
      </c>
      <c r="Y74" s="2" t="inlineStr">
        <is>
          <t>Inglese</t>
        </is>
      </c>
      <c r="Z74" s="7" t="inlineStr">
        <is>
          <t>https://www.grants.gov/search-results-detail/363970</t>
        </is>
      </c>
      <c r="AA74" s="3" t="n"/>
      <c r="AB74" s="2" t="inlineStr">
        <is>
          <t>Aperto</t>
        </is>
      </c>
      <c r="AC74" s="5" t="n">
        <v>46312</v>
      </c>
      <c r="AD74" s="5" t="n">
        <v>46312</v>
      </c>
      <c r="AE74" s="2" t="n"/>
    </row>
    <row r="75">
      <c r="A75" s="2" t="inlineStr">
        <is>
          <t>GG-HHS-2027-ACL-NIDILRR-DPBU-0067</t>
        </is>
      </c>
      <c r="B75" s="2" t="inlineStr">
        <is>
          <t>Grants.gov</t>
        </is>
      </c>
      <c r="C75" s="2" t="inlineStr">
        <is>
          <t>Administration for Community Living – HHS-2027-ACL-NIDILRR-DPBU-0067</t>
        </is>
      </c>
      <c r="D75" s="2" t="inlineStr">
        <is>
          <t>Administration for Community Living</t>
        </is>
      </c>
      <c r="E75" s="3" t="inlineStr">
        <is>
          <t>Burn Injury Model System Centers</t>
        </is>
      </c>
      <c r="F75" s="3" t="inlineStr">
        <is>
          <t>Burn Injury Model System Centers</t>
        </is>
      </c>
      <c r="G75" s="2" t="inlineStr">
        <is>
          <t>Riabilitazione</t>
        </is>
      </c>
      <c r="H75" s="2" t="inlineStr">
        <is>
          <t>rehabilitat</t>
        </is>
      </c>
      <c r="I75" s="2" t="inlineStr">
        <is>
          <t>Non analizzato</t>
        </is>
      </c>
      <c r="J75" s="3" t="n"/>
      <c r="K75" s="4" t="n">
        <v>3000000</v>
      </c>
      <c r="L75" s="4" t="n">
        <v>640000</v>
      </c>
      <c r="M75" s="2" t="inlineStr">
        <is>
          <t>USD</t>
        </is>
      </c>
      <c r="N75" s="2" t="n">
        <v>5</v>
      </c>
      <c r="O75" s="3" t="inlineStr">
        <is>
          <t>Media – 5 progetti finanziabili (stima: tasso storico non disponibile)</t>
        </is>
      </c>
      <c r="P75" s="3" t="inlineStr">
        <is>
          <t>100% – nessun cost sharing richiesto</t>
        </is>
      </c>
      <c r="Q75" s="5" t="n">
        <v>46485</v>
      </c>
      <c r="R75" s="6">
        <f>IF(Q75="","",Q75-TODAY())</f>
        <v/>
      </c>
      <c r="S75" s="5" t="n">
        <v>46290</v>
      </c>
      <c r="T75" s="2" t="n"/>
      <c r="U75" s="2" t="n"/>
      <c r="V75" s="3" t="inlineStr">
        <is>
          <t>Native American tribal governments (Federally recognized); City or township governments; Public and State controlled institutions of higher education; Small businesses; County governments; Nonprofits that do not have a 501(c)(3) status with the IRS, other than institutions of higher education; For profit organizations other than small businesses; Others (see text field entitled "Additional Informa</t>
        </is>
      </c>
      <c r="W75" s="3" t="n"/>
      <c r="X75" s="2" t="inlineStr">
        <is>
          <t>Solo enti statunitensi (salvo diversa indicazione)</t>
        </is>
      </c>
      <c r="Y75" s="2" t="inlineStr">
        <is>
          <t>Inglese</t>
        </is>
      </c>
      <c r="Z75" s="7" t="inlineStr">
        <is>
          <t>https://www.grants.gov/search-results-detail/363968</t>
        </is>
      </c>
      <c r="AA75" s="3" t="n"/>
      <c r="AB75" s="2" t="inlineStr">
        <is>
          <t>Aperto</t>
        </is>
      </c>
      <c r="AC75" s="5" t="n">
        <v>46312</v>
      </c>
      <c r="AD75" s="5" t="n">
        <v>46312</v>
      </c>
      <c r="AE75" s="2" t="n"/>
    </row>
    <row r="76">
      <c r="A76" s="2" t="inlineStr">
        <is>
          <t>GG-HHS-2027-ACL-NIDILRR-REGE-0312</t>
        </is>
      </c>
      <c r="B76" s="2" t="inlineStr">
        <is>
          <t>Grants.gov</t>
        </is>
      </c>
      <c r="C76" s="2" t="inlineStr">
        <is>
          <t>Administration for Community Living – HHS-2027-ACL-NIDILRR-REGE-0312</t>
        </is>
      </c>
      <c r="D76" s="2" t="inlineStr">
        <is>
          <t>Administration for Community Living</t>
        </is>
      </c>
      <c r="E76" s="3" t="inlineStr">
        <is>
          <t>Rehabilitation Engineering Research Center on Recreational, Sport, and Exercise Technologies for People with Disabilities</t>
        </is>
      </c>
      <c r="F76" s="3" t="inlineStr">
        <is>
          <t>Rehabilitation Engineering Research Center on Recreational, Sport, and Exercise Technologies for People with Disabilities</t>
        </is>
      </c>
      <c r="G76" s="2" t="inlineStr">
        <is>
          <t>Riabilitazione</t>
        </is>
      </c>
      <c r="H76" s="2" t="inlineStr">
        <is>
          <t>rehabilitat, disabilit</t>
        </is>
      </c>
      <c r="I76" s="2" t="inlineStr">
        <is>
          <t>Non analizzato</t>
        </is>
      </c>
      <c r="J76" s="3" t="n"/>
      <c r="K76" s="4" t="n">
        <v>975000</v>
      </c>
      <c r="L76" s="4" t="n">
        <v>975000</v>
      </c>
      <c r="M76" s="2" t="inlineStr">
        <is>
          <t>USD</t>
        </is>
      </c>
      <c r="N76" s="2" t="n">
        <v>1</v>
      </c>
      <c r="O76" s="3" t="inlineStr">
        <is>
          <t>Bassa – 1 progetti finanziabili (stima: tasso storico non disponibile)</t>
        </is>
      </c>
      <c r="P76" s="3" t="inlineStr">
        <is>
          <t>100% – nessun cost sharing richiesto</t>
        </is>
      </c>
      <c r="Q76" s="5" t="n">
        <v>46492</v>
      </c>
      <c r="R76" s="6">
        <f>IF(Q76="","",Q76-TODAY())</f>
        <v/>
      </c>
      <c r="S76" s="5" t="n">
        <v>46290</v>
      </c>
      <c r="T76" s="2" t="n"/>
      <c r="U76" s="2" t="n"/>
      <c r="V76" s="3" t="inlineStr">
        <is>
          <t xml:space="preserve">Public and State controlled institutions of higher education; Native American tribal governments (Federally recognized); Nonprofits having a 501(c)(3) status with the IRS, other than institutions of higher education; Others (see text field entitled "Additional Information on Eligibility" for clarification); Native American tribal organizations (other than Federally recognized tribal governments); </t>
        </is>
      </c>
      <c r="W76" s="3" t="n"/>
      <c r="X76" s="2" t="inlineStr">
        <is>
          <t>Solo enti statunitensi (salvo diversa indicazione)</t>
        </is>
      </c>
      <c r="Y76" s="2" t="inlineStr">
        <is>
          <t>Inglese</t>
        </is>
      </c>
      <c r="Z76" s="7" t="inlineStr">
        <is>
          <t>https://www.grants.gov/search-results-detail/363973</t>
        </is>
      </c>
      <c r="AA76" s="3" t="n"/>
      <c r="AB76" s="2" t="inlineStr">
        <is>
          <t>Aperto</t>
        </is>
      </c>
      <c r="AC76" s="5" t="n">
        <v>46312</v>
      </c>
      <c r="AD76" s="5" t="n">
        <v>46312</v>
      </c>
      <c r="AE76" s="2" t="n"/>
    </row>
    <row r="77">
      <c r="A77" s="2" t="inlineStr">
        <is>
          <t>GG-CDC-RFA-CE-27-0024</t>
        </is>
      </c>
      <c r="B77" s="2" t="inlineStr">
        <is>
          <t>Grants.gov</t>
        </is>
      </c>
      <c r="C77" s="2" t="inlineStr">
        <is>
          <t>Centers for Disease Control - NCIPC – CDC-RFA-CE-27-0024</t>
        </is>
      </c>
      <c r="D77" s="2" t="inlineStr">
        <is>
          <t>Centers for Disease Control - NCIPC</t>
        </is>
      </c>
      <c r="E77" s="3" t="inlineStr">
        <is>
          <t>Comprehensive Suicide Prevention Program for States</t>
        </is>
      </c>
      <c r="F77" s="3" t="inlineStr">
        <is>
          <t>Comprehensive Suicide Prevention Program for States</t>
        </is>
      </c>
      <c r="G77" s="2" t="inlineStr">
        <is>
          <t>Invecchiamento</t>
        </is>
      </c>
      <c r="H77" s="2" t="inlineStr">
        <is>
          <t>older adults</t>
        </is>
      </c>
      <c r="I77" s="2" t="inlineStr">
        <is>
          <t>Non analizzato</t>
        </is>
      </c>
      <c r="J77" s="3" t="n"/>
      <c r="K77" s="4" t="n">
        <v>117500000</v>
      </c>
      <c r="L77" s="4" t="n">
        <v>1200000</v>
      </c>
      <c r="M77" s="2" t="inlineStr">
        <is>
          <t>USD</t>
        </is>
      </c>
      <c r="N77" s="2" t="n">
        <v>26</v>
      </c>
      <c r="O77" s="3" t="inlineStr">
        <is>
          <t>Alta – 26 progetti finanziabili (stima: tasso storico non disponibile)</t>
        </is>
      </c>
      <c r="P77" s="3" t="inlineStr">
        <is>
          <t>100% – nessun cost sharing richiesto</t>
        </is>
      </c>
      <c r="Q77" s="5" t="n">
        <v>46494</v>
      </c>
      <c r="R77" s="6">
        <f>IF(Q77="","",Q77-TODAY())</f>
        <v/>
      </c>
      <c r="S77" s="5" t="n">
        <v>46230</v>
      </c>
      <c r="T77" s="2" t="n"/>
      <c r="U77" s="2" t="n"/>
      <c r="V77" s="3" t="inlineStr">
        <is>
          <t>Nonprofits having a 501(c)(3) status with the IRS, other than institutions of higher education; Nonprofits that do not have a 501(c)(3) status with the IRS, other than institutions of higher education; County governments; Private institutions of higher education; Native American tribal governments (Federally recognized); Others (see text field entitled "Additional Information on Eligibility" for c</t>
        </is>
      </c>
      <c r="W77" s="3" t="n"/>
      <c r="X77" s="2" t="inlineStr">
        <is>
          <t>Solo enti statunitensi (salvo diversa indicazione)</t>
        </is>
      </c>
      <c r="Y77" s="2" t="inlineStr">
        <is>
          <t>Inglese</t>
        </is>
      </c>
      <c r="Z77" s="7" t="inlineStr">
        <is>
          <t>https://www.grants.gov/search-results-detail/363329</t>
        </is>
      </c>
      <c r="AA77" s="3" t="n"/>
      <c r="AB77" s="2" t="inlineStr">
        <is>
          <t>Aperto</t>
        </is>
      </c>
      <c r="AC77" s="5" t="n">
        <v>46312</v>
      </c>
      <c r="AD77" s="5" t="n">
        <v>46312</v>
      </c>
      <c r="AE77" s="2" t="n"/>
    </row>
    <row r="78">
      <c r="A78" s="2" t="inlineStr">
        <is>
          <t>GG-HHS-2027-ACL-NIDILRR-REGE-0313</t>
        </is>
      </c>
      <c r="B78" s="2" t="inlineStr">
        <is>
          <t>Grants.gov</t>
        </is>
      </c>
      <c r="C78" s="2" t="inlineStr">
        <is>
          <t>Administration for Community Living – HHS-2027-ACL-NIDILRR-REGE-0313</t>
        </is>
      </c>
      <c r="D78" s="2" t="inlineStr">
        <is>
          <t>Administration for Community Living</t>
        </is>
      </c>
      <c r="E78" s="3" t="inlineStr">
        <is>
          <t>Rehabilitation Engineering Research Center on Technologies for People Who are Blind or have Low Vision</t>
        </is>
      </c>
      <c r="F78" s="3" t="inlineStr">
        <is>
          <t>Rehabilitation Engineering Research Center on Technologies for People Who are Blind or have Low Vision</t>
        </is>
      </c>
      <c r="G78" s="2" t="inlineStr">
        <is>
          <t>Riabilitazione</t>
        </is>
      </c>
      <c r="H78" s="2" t="inlineStr">
        <is>
          <t>rehabilitat</t>
        </is>
      </c>
      <c r="I78" s="2" t="inlineStr">
        <is>
          <t>Non analizzato</t>
        </is>
      </c>
      <c r="J78" s="3" t="n"/>
      <c r="K78" s="4" t="n">
        <v>975000</v>
      </c>
      <c r="L78" s="4" t="n">
        <v>975000</v>
      </c>
      <c r="M78" s="2" t="inlineStr">
        <is>
          <t>USD</t>
        </is>
      </c>
      <c r="N78" s="2" t="n">
        <v>1</v>
      </c>
      <c r="O78" s="3" t="inlineStr">
        <is>
          <t>Bassa – 1 progetti finanziabili (stima: tasso storico non disponibile)</t>
        </is>
      </c>
      <c r="P78" s="3" t="inlineStr">
        <is>
          <t>100% – nessun cost sharing richiesto</t>
        </is>
      </c>
      <c r="Q78" s="5" t="n">
        <v>46499</v>
      </c>
      <c r="R78" s="6">
        <f>IF(Q78="","",Q78-TODAY())</f>
        <v/>
      </c>
      <c r="S78" s="5" t="n">
        <v>46290</v>
      </c>
      <c r="T78" s="2" t="n"/>
      <c r="U78" s="2" t="n"/>
      <c r="V78" s="3" t="inlineStr">
        <is>
          <t>Others (see text field entitled "Additional Information on Eligibility" for clarification); Public and State controlled institutions of higher education; Nonprofits that do not have a 501(c)(3) status with the IRS, other than institutions of higher education; Small businesses; City or township governments; Private institutions of higher education; Native American tribal organizations (other than F</t>
        </is>
      </c>
      <c r="W78" s="3" t="n"/>
      <c r="X78" s="2" t="inlineStr">
        <is>
          <t>Solo enti statunitensi (salvo diversa indicazione)</t>
        </is>
      </c>
      <c r="Y78" s="2" t="inlineStr">
        <is>
          <t>Inglese</t>
        </is>
      </c>
      <c r="Z78" s="7" t="inlineStr">
        <is>
          <t>https://www.grants.gov/search-results-detail/363974</t>
        </is>
      </c>
      <c r="AA78" s="3" t="n"/>
      <c r="AB78" s="2" t="inlineStr">
        <is>
          <t>Aperto</t>
        </is>
      </c>
      <c r="AC78" s="5" t="n">
        <v>46312</v>
      </c>
      <c r="AD78" s="5" t="n">
        <v>46312</v>
      </c>
      <c r="AE78" s="2" t="n"/>
    </row>
    <row r="79">
      <c r="A79" s="2" t="inlineStr">
        <is>
          <t>GG-HHS-2027-ACL-AOA-ADPI-0006</t>
        </is>
      </c>
      <c r="B79" s="2" t="inlineStr">
        <is>
          <t>Grants.gov</t>
        </is>
      </c>
      <c r="C79" s="2" t="inlineStr">
        <is>
          <t>Administration for Community Living – HHS-2027-ACL-AOA-ADPI-0006</t>
        </is>
      </c>
      <c r="D79" s="2" t="inlineStr">
        <is>
          <t>Administration for Community Living</t>
        </is>
      </c>
      <c r="E79" s="3" t="inlineStr">
        <is>
          <t>Alzheimer's Disease Programs Initiative (ADPI) - Developing Dementia-Capable Community Health Worker Programs in the National Aging Network</t>
        </is>
      </c>
      <c r="F79" s="3" t="inlineStr">
        <is>
          <t>Alzheimer's Disease Programs Initiative (ADPI) - Developing Dementia-Capable Community Health Worker Programs in the National Aging Network</t>
        </is>
      </c>
      <c r="G79" s="2" t="inlineStr">
        <is>
          <t>Invecchiamento</t>
        </is>
      </c>
      <c r="H79" s="2" t="inlineStr">
        <is>
          <t>dementi, alzheimer, aging</t>
        </is>
      </c>
      <c r="I79" s="2" t="inlineStr">
        <is>
          <t>Non analizzato</t>
        </is>
      </c>
      <c r="J79" s="3" t="n"/>
      <c r="K79" s="4" t="n">
        <v>1750000</v>
      </c>
      <c r="L79" s="4" t="n">
        <v>250000</v>
      </c>
      <c r="M79" s="2" t="inlineStr">
        <is>
          <t>USD</t>
        </is>
      </c>
      <c r="N79" s="2" t="n">
        <v>7</v>
      </c>
      <c r="O79" s="3" t="inlineStr">
        <is>
          <t>Media – 7 progetti finanziabili (stima: tasso storico non disponibile)</t>
        </is>
      </c>
      <c r="P79" s="3" t="inlineStr">
        <is>
          <t>Co-finanziamento richiesto (cost sharing)</t>
        </is>
      </c>
      <c r="Q79" s="5" t="n">
        <v>46510</v>
      </c>
      <c r="R79" s="6">
        <f>IF(Q79="","",Q79-TODAY())</f>
        <v/>
      </c>
      <c r="S79" s="5" t="n">
        <v>46290</v>
      </c>
      <c r="T79" s="2" t="n"/>
      <c r="U79" s="2" t="n"/>
      <c r="V79" s="3" t="inlineStr">
        <is>
          <t>Unrestricted (i.e., open to any type of entity above), subject to any clarification in text field entitled "Additional Information on Eligibility"</t>
        </is>
      </c>
      <c r="W79" s="3" t="n"/>
      <c r="X79" s="2" t="inlineStr">
        <is>
          <t>Solo enti statunitensi (salvo diversa indicazione)</t>
        </is>
      </c>
      <c r="Y79" s="2" t="inlineStr">
        <is>
          <t>Inglese</t>
        </is>
      </c>
      <c r="Z79" s="7" t="inlineStr">
        <is>
          <t>https://www.grants.gov/search-results-detail/363962</t>
        </is>
      </c>
      <c r="AA79" s="3" t="n"/>
      <c r="AB79" s="2" t="inlineStr">
        <is>
          <t>Aperto</t>
        </is>
      </c>
      <c r="AC79" s="5" t="n">
        <v>46312</v>
      </c>
      <c r="AD79" s="5" t="n">
        <v>46312</v>
      </c>
      <c r="AE79" s="2" t="n"/>
    </row>
    <row r="80">
      <c r="A80" s="2" t="inlineStr">
        <is>
          <t>GG-PAR-25-272</t>
        </is>
      </c>
      <c r="B80" s="2" t="inlineStr">
        <is>
          <t>Grants.gov</t>
        </is>
      </c>
      <c r="C80" s="2" t="inlineStr">
        <is>
          <t>National Institutes of Health – PAR-25-272</t>
        </is>
      </c>
      <c r="D80" s="2" t="inlineStr">
        <is>
          <t>National Institutes of Health</t>
        </is>
      </c>
      <c r="E80" s="3" t="inlineStr">
        <is>
          <t>New Approaches for Measuring Brain Changes Across Longer Timespans (R21 Clinical Trial Optional)</t>
        </is>
      </c>
      <c r="F80" s="3" t="inlineStr">
        <is>
          <t>New Approaches for Measuring Brain Changes Across Longer Timespans (R21 Clinical Trial Optional)</t>
        </is>
      </c>
      <c r="G80" s="2" t="inlineStr">
        <is>
          <t>Invecchiamento</t>
        </is>
      </c>
      <c r="H80" s="2" t="inlineStr">
        <is>
          <t>aging</t>
        </is>
      </c>
      <c r="I80" s="2" t="inlineStr">
        <is>
          <t>Non analizzato</t>
        </is>
      </c>
      <c r="J80" s="3" t="n"/>
      <c r="K80" s="4" t="n"/>
      <c r="L80" s="4" t="n"/>
      <c r="M80" s="2" t="inlineStr">
        <is>
          <t>USD</t>
        </is>
      </c>
      <c r="N80" s="2" t="n"/>
      <c r="O80" s="3" t="inlineStr">
        <is>
          <t>Non stimabile – dati insufficienti</t>
        </is>
      </c>
      <c r="P80" s="3" t="inlineStr">
        <is>
          <t>100% – nessun cost sharing richiesto</t>
        </is>
      </c>
      <c r="Q80" s="5" t="n">
        <v>46514</v>
      </c>
      <c r="R80" s="6">
        <f>IF(Q80="","",Q80-TODAY())</f>
        <v/>
      </c>
      <c r="S80" s="5" t="n">
        <v>45621</v>
      </c>
      <c r="T80" s="2" t="n"/>
      <c r="U80" s="2" t="n"/>
      <c r="V80" s="3" t="inlineStr">
        <is>
          <t>Special district governments; Public housing authorities/Indian housing authorities; Native American tribal governments (Federally recognized); Nonprofits that do not have a 501(c)(3) status with the IRS, other than institutions of higher education; County governments; City or township governments; Small businesses; Native American tribal organizations (other than Federally recognized tribal gover</t>
        </is>
      </c>
      <c r="W80" s="3" t="n"/>
      <c r="X80" s="2" t="inlineStr">
        <is>
          <t>Solo enti statunitensi (salvo diversa indicazione)</t>
        </is>
      </c>
      <c r="Y80" s="2" t="inlineStr">
        <is>
          <t>Inglese</t>
        </is>
      </c>
      <c r="Z80" s="7" t="inlineStr">
        <is>
          <t>https://www.grants.gov/search-results-detail/357377</t>
        </is>
      </c>
      <c r="AA80" s="3" t="n"/>
      <c r="AB80" s="2" t="inlineStr">
        <is>
          <t>Aperto</t>
        </is>
      </c>
      <c r="AC80" s="5" t="n">
        <v>46312</v>
      </c>
      <c r="AD80" s="5" t="n">
        <v>46312</v>
      </c>
      <c r="AE80" s="2" t="n"/>
    </row>
    <row r="81">
      <c r="A81" s="2" t="inlineStr">
        <is>
          <t>GG-PAR-25-279</t>
        </is>
      </c>
      <c r="B81" s="2" t="inlineStr">
        <is>
          <t>Grants.gov</t>
        </is>
      </c>
      <c r="C81" s="2" t="inlineStr">
        <is>
          <t>National Institutes of Health – PAR-25-279</t>
        </is>
      </c>
      <c r="D81" s="2" t="inlineStr">
        <is>
          <t>National Institutes of Health</t>
        </is>
      </c>
      <c r="E81" s="3" t="inlineStr">
        <is>
          <t>New Approaches for Measuring Brain Changes Across Longer Timespans (R01 Clinical Trial Optional)</t>
        </is>
      </c>
      <c r="F81" s="3" t="inlineStr">
        <is>
          <t>New Approaches for Measuring Brain Changes Across Longer Timespans (R01 Clinical Trial Optional)</t>
        </is>
      </c>
      <c r="G81" s="2" t="inlineStr">
        <is>
          <t>Invecchiamento</t>
        </is>
      </c>
      <c r="H81" s="2" t="inlineStr">
        <is>
          <t>aging</t>
        </is>
      </c>
      <c r="I81" s="2" t="inlineStr">
        <is>
          <t>Non analizzato</t>
        </is>
      </c>
      <c r="J81" s="3" t="n"/>
      <c r="K81" s="4" t="n"/>
      <c r="L81" s="4" t="n"/>
      <c r="M81" s="2" t="inlineStr">
        <is>
          <t>USD</t>
        </is>
      </c>
      <c r="N81" s="2" t="n"/>
      <c r="O81" s="3" t="inlineStr">
        <is>
          <t>Non stimabile – dati insufficienti</t>
        </is>
      </c>
      <c r="P81" s="3" t="inlineStr">
        <is>
          <t>100% – nessun cost sharing richiesto</t>
        </is>
      </c>
      <c r="Q81" s="5" t="n">
        <v>46514</v>
      </c>
      <c r="R81" s="6">
        <f>IF(Q81="","",Q81-TODAY())</f>
        <v/>
      </c>
      <c r="S81" s="5" t="n">
        <v>45621</v>
      </c>
      <c r="T81" s="2" t="n"/>
      <c r="U81" s="2" t="n"/>
      <c r="V81" s="3" t="inlineStr">
        <is>
          <t>Special district governments; Private institutions of higher education; Nonprofits that do not have a 501(c)(3) status with the IRS, other than institutions of higher education; Native American tribal governments (Federally recognized); Others (see text field entitled "Additional Information on Eligibility" for clarification); County governments; Public housing authorities/Indian housing authoriti</t>
        </is>
      </c>
      <c r="W81" s="3" t="n"/>
      <c r="X81" s="2" t="inlineStr">
        <is>
          <t>Solo enti statunitensi (salvo diversa indicazione)</t>
        </is>
      </c>
      <c r="Y81" s="2" t="inlineStr">
        <is>
          <t>Inglese</t>
        </is>
      </c>
      <c r="Z81" s="7" t="inlineStr">
        <is>
          <t>https://www.grants.gov/search-results-detail/357378</t>
        </is>
      </c>
      <c r="AA81" s="3" t="n"/>
      <c r="AB81" s="2" t="inlineStr">
        <is>
          <t>Aperto</t>
        </is>
      </c>
      <c r="AC81" s="5" t="n">
        <v>46312</v>
      </c>
      <c r="AD81" s="5" t="n">
        <v>46312</v>
      </c>
      <c r="AE81" s="2" t="n"/>
    </row>
    <row r="82">
      <c r="A82" s="2" t="inlineStr">
        <is>
          <t>GG-RFA-AG-27-004</t>
        </is>
      </c>
      <c r="B82" s="2" t="inlineStr">
        <is>
          <t>Grants.gov</t>
        </is>
      </c>
      <c r="C82" s="2" t="inlineStr">
        <is>
          <t>National Institutes of Health – RFA-AG-27-004</t>
        </is>
      </c>
      <c r="D82" s="2" t="inlineStr">
        <is>
          <t>National Institutes of Health</t>
        </is>
      </c>
      <c r="E82" s="3" t="inlineStr">
        <is>
          <t>Continuation of the Exceptional Longevity Data Management and Coordinating Center (EL DMCC) (U24 Clinical Trial Not Allowed)</t>
        </is>
      </c>
      <c r="F82" s="3" t="inlineStr">
        <is>
          <t>Continuation of the Exceptional Longevity Data Management and Coordinating Center (EL DMCC) (U24 Clinical Trial Not Allowed)</t>
        </is>
      </c>
      <c r="G82" s="2" t="inlineStr">
        <is>
          <t>Invecchiamento</t>
        </is>
      </c>
      <c r="H82" s="2" t="inlineStr">
        <is>
          <t>alzheimer, longevit</t>
        </is>
      </c>
      <c r="I82" s="2" t="inlineStr">
        <is>
          <t>Non analizzato</t>
        </is>
      </c>
      <c r="J82" s="3" t="n"/>
      <c r="K82" s="4" t="n"/>
      <c r="L82" s="4" t="n"/>
      <c r="M82" s="2" t="inlineStr">
        <is>
          <t>USD</t>
        </is>
      </c>
      <c r="N82" s="2" t="n"/>
      <c r="O82" s="3" t="inlineStr">
        <is>
          <t>Non stimabile – dati insufficienti</t>
        </is>
      </c>
      <c r="P82" s="3" t="inlineStr">
        <is>
          <t>100% – nessun cost sharing richiesto</t>
        </is>
      </c>
      <c r="Q82" s="5" t="n">
        <v>46515</v>
      </c>
      <c r="R82" s="6">
        <f>IF(Q82="","",Q82-TODAY())</f>
        <v/>
      </c>
      <c r="S82" s="5" t="n">
        <v>46289</v>
      </c>
      <c r="T82" s="2" t="n"/>
      <c r="U82" s="2" t="n"/>
      <c r="V82" s="3" t="inlineStr">
        <is>
          <t>Native American tribal governments (Federally recognized); Nonprofits having a 501(c)(3) status with the IRS, other than institutions of higher education; For profit organizations other than small businesses; State governments; Nonprofits that do not have a 501(c)(3) status with the IRS, other than institutions of higher education; Independent school districts; Public and State controlled institut</t>
        </is>
      </c>
      <c r="W82" s="3" t="n"/>
      <c r="X82" s="2" t="inlineStr">
        <is>
          <t>Solo enti statunitensi (salvo diversa indicazione)</t>
        </is>
      </c>
      <c r="Y82" s="2" t="inlineStr">
        <is>
          <t>Inglese</t>
        </is>
      </c>
      <c r="Z82" s="7" t="inlineStr">
        <is>
          <t>https://www.grants.gov/search-results-detail/363945</t>
        </is>
      </c>
      <c r="AA82" s="3" t="n"/>
      <c r="AB82" s="2" t="inlineStr">
        <is>
          <t>Aperto</t>
        </is>
      </c>
      <c r="AC82" s="5" t="n">
        <v>46312</v>
      </c>
      <c r="AD82" s="5" t="n">
        <v>46312</v>
      </c>
      <c r="AE82" s="2" t="n"/>
    </row>
    <row r="83">
      <c r="A83" s="2" t="inlineStr">
        <is>
          <t>GG-PAR-28-061</t>
        </is>
      </c>
      <c r="B83" s="2" t="inlineStr">
        <is>
          <t>Grants.gov</t>
        </is>
      </c>
      <c r="C83" s="2" t="inlineStr">
        <is>
          <t>National Institutes of Health – PAR-28-061</t>
        </is>
      </c>
      <c r="D83" s="2" t="inlineStr">
        <is>
          <t>National Institutes of Health</t>
        </is>
      </c>
      <c r="E83" s="3" t="inlineStr">
        <is>
          <t>Research to Improve Rigor, Replicability, and Reproducibility in Biomedical and Behavioral Sciences</t>
        </is>
      </c>
      <c r="F83" s="3" t="inlineStr">
        <is>
          <t>Research to Improve Rigor, Replicability, and Reproducibility in Biomedical and Behavioral Sciences</t>
        </is>
      </c>
      <c r="G83" s="2" t="inlineStr">
        <is>
          <t>Ictus</t>
        </is>
      </c>
      <c r="H83" s="2" t="inlineStr">
        <is>
          <t>stroke</t>
        </is>
      </c>
      <c r="I83" s="2" t="inlineStr">
        <is>
          <t>Non analizzato</t>
        </is>
      </c>
      <c r="J83" s="3" t="n"/>
      <c r="K83" s="4" t="n"/>
      <c r="L83" s="4" t="n"/>
      <c r="M83" s="2" t="inlineStr">
        <is>
          <t>USD</t>
        </is>
      </c>
      <c r="N83" s="2" t="n"/>
      <c r="O83" s="3" t="inlineStr">
        <is>
          <t>Non stimabile – dati insufficienti</t>
        </is>
      </c>
      <c r="P83" s="3" t="inlineStr">
        <is>
          <t>100% – nessun cost sharing richiesto</t>
        </is>
      </c>
      <c r="Q83" s="5" t="n">
        <v>46532</v>
      </c>
      <c r="R83" s="6">
        <f>IF(Q83="","",Q83-TODAY())</f>
        <v/>
      </c>
      <c r="S83" s="5" t="n">
        <v>46287</v>
      </c>
      <c r="T83" s="2" t="n"/>
      <c r="U83" s="2" t="n"/>
      <c r="V83" s="3" t="inlineStr">
        <is>
          <t>Public and State controlled institutions of higher education; State governments; City or township governments; Nonprofits that do not have a 501(c)(3) status with the IRS, other than institutions of higher education; Nonprofits having a 501(c)(3) status with the IRS, other than institutions of higher education; Others (see text field entitled "Additional Information on Eligibility" for clarificati</t>
        </is>
      </c>
      <c r="W83" s="3" t="n"/>
      <c r="X83" s="2" t="inlineStr">
        <is>
          <t>Solo enti statunitensi (salvo diversa indicazione)</t>
        </is>
      </c>
      <c r="Y83" s="2" t="inlineStr">
        <is>
          <t>Inglese</t>
        </is>
      </c>
      <c r="Z83" s="7" t="inlineStr">
        <is>
          <t>https://www.grants.gov/search-results-detail/363915</t>
        </is>
      </c>
      <c r="AA83" s="3" t="n"/>
      <c r="AB83" s="2" t="inlineStr">
        <is>
          <t>Aperto</t>
        </is>
      </c>
      <c r="AC83" s="5" t="n">
        <v>46312</v>
      </c>
      <c r="AD83" s="5" t="n">
        <v>46312</v>
      </c>
      <c r="AE83" s="2" t="n"/>
    </row>
    <row r="84">
      <c r="A84" s="2" t="inlineStr">
        <is>
          <t>GG-RFA-NS-28-009</t>
        </is>
      </c>
      <c r="B84" s="2" t="inlineStr">
        <is>
          <t>Grants.gov</t>
        </is>
      </c>
      <c r="C84" s="2" t="inlineStr">
        <is>
          <t>National Institutes of Health – RFA-NS-28-009</t>
        </is>
      </c>
      <c r="D84" s="2" t="inlineStr">
        <is>
          <t>National Institutes of Health</t>
        </is>
      </c>
      <c r="E84" s="3" t="inlineStr">
        <is>
          <t>Amyotrophic Lateral Sclerosis (ALS) Intermediate Patient Population Expanded Access (U01 Clinical Trial Required)</t>
        </is>
      </c>
      <c r="F84" s="3" t="inlineStr">
        <is>
          <t>Amyotrophic Lateral Sclerosis (ALS) Intermediate Patient Population Expanded Access (U01 Clinical Trial Required)</t>
        </is>
      </c>
      <c r="G84" s="2" t="inlineStr">
        <is>
          <t>Ictus</t>
        </is>
      </c>
      <c r="H84" s="2" t="inlineStr">
        <is>
          <t>stroke</t>
        </is>
      </c>
      <c r="I84" s="2" t="inlineStr">
        <is>
          <t>Non analizzato</t>
        </is>
      </c>
      <c r="J84" s="3" t="n"/>
      <c r="K84" s="4" t="n"/>
      <c r="L84" s="4" t="n"/>
      <c r="M84" s="2" t="inlineStr">
        <is>
          <t>USD</t>
        </is>
      </c>
      <c r="N84" s="2" t="n"/>
      <c r="O84" s="3" t="inlineStr">
        <is>
          <t>Non stimabile – dati insufficienti</t>
        </is>
      </c>
      <c r="P84" s="3" t="inlineStr">
        <is>
          <t>100% – nessun cost sharing richiesto</t>
        </is>
      </c>
      <c r="Q84" s="5" t="n">
        <v>46532</v>
      </c>
      <c r="R84" s="6">
        <f>IF(Q84="","",Q84-TODAY())</f>
        <v/>
      </c>
      <c r="S84" s="5" t="n">
        <v>46288</v>
      </c>
      <c r="T84" s="2" t="n"/>
      <c r="U84" s="2" t="n"/>
      <c r="V84" s="3" t="inlineStr">
        <is>
          <t>Native American tribal organizations (other than Federally recognized tribal governments); State governments; Nonprofits that do not have a 501(c)(3) status with the IRS, other than institutions of higher education; Private institutions of higher education; For profit organizations other than small businesses; Others (see text field entitled "Additional Information on Eligibility" for clarificatio</t>
        </is>
      </c>
      <c r="W84" s="3" t="n"/>
      <c r="X84" s="2" t="inlineStr">
        <is>
          <t>Solo enti statunitensi (salvo diversa indicazione)</t>
        </is>
      </c>
      <c r="Y84" s="2" t="inlineStr">
        <is>
          <t>Inglese</t>
        </is>
      </c>
      <c r="Z84" s="7" t="inlineStr">
        <is>
          <t>https://www.grants.gov/search-results-detail/363926</t>
        </is>
      </c>
      <c r="AA84" s="3" t="n"/>
      <c r="AB84" s="2" t="inlineStr">
        <is>
          <t>Aperto</t>
        </is>
      </c>
      <c r="AC84" s="5" t="n">
        <v>46312</v>
      </c>
      <c r="AD84" s="5" t="n">
        <v>46312</v>
      </c>
      <c r="AE84" s="2" t="n"/>
    </row>
    <row r="85">
      <c r="A85" s="2" t="inlineStr">
        <is>
          <t>GG-RFA-AG-28-002</t>
        </is>
      </c>
      <c r="B85" s="2" t="inlineStr">
        <is>
          <t>Grants.gov</t>
        </is>
      </c>
      <c r="C85" s="2" t="inlineStr">
        <is>
          <t>National Institutes of Health – RFA-AG-28-002</t>
        </is>
      </c>
      <c r="D85" s="2" t="inlineStr">
        <is>
          <t>National Institutes of Health</t>
        </is>
      </c>
      <c r="E85" s="3" t="inlineStr">
        <is>
          <t>Coordinating Center for the Claude D. Pepper Older Americans Independence Centers (OAICs)</t>
        </is>
      </c>
      <c r="F85" s="3" t="inlineStr">
        <is>
          <t>Coordinating Center for the Claude D. Pepper Older Americans Independence Centers (OAICs)</t>
        </is>
      </c>
      <c r="G85" s="2" t="inlineStr">
        <is>
          <t>Invecchiamento</t>
        </is>
      </c>
      <c r="H85" s="2" t="inlineStr">
        <is>
          <t>geriatr, aging</t>
        </is>
      </c>
      <c r="I85" s="2" t="inlineStr">
        <is>
          <t>Non analizzato</t>
        </is>
      </c>
      <c r="J85" s="3" t="n"/>
      <c r="K85" s="4" t="n"/>
      <c r="L85" s="4" t="n"/>
      <c r="M85" s="2" t="inlineStr">
        <is>
          <t>USD</t>
        </is>
      </c>
      <c r="N85" s="2" t="n"/>
      <c r="O85" s="3" t="inlineStr">
        <is>
          <t>Non stimabile – dati insufficienti</t>
        </is>
      </c>
      <c r="P85" s="3" t="inlineStr">
        <is>
          <t>100% – nessun cost sharing richiesto</t>
        </is>
      </c>
      <c r="Q85" s="5" t="n">
        <v>46532</v>
      </c>
      <c r="R85" s="6">
        <f>IF(Q85="","",Q85-TODAY())</f>
        <v/>
      </c>
      <c r="S85" s="5" t="n">
        <v>46308</v>
      </c>
      <c r="T85" s="2" t="n"/>
      <c r="U85" s="2" t="n"/>
      <c r="V85" s="3" t="inlineStr">
        <is>
          <t>County governments; City or township governments; State governments; For profit organizations other than small businesses; Public and State controlled institutions of higher education; Public housing authorities/Indian housing authorities; Private institutions of higher education; Nonprofits that do not have a 501(c)(3) status with the IRS, other than institutions of higher education; Nonprofits h</t>
        </is>
      </c>
      <c r="W85" s="3" t="n"/>
      <c r="X85" s="2" t="inlineStr">
        <is>
          <t>Solo enti statunitensi (salvo diversa indicazione)</t>
        </is>
      </c>
      <c r="Y85" s="2" t="inlineStr">
        <is>
          <t>Inglese</t>
        </is>
      </c>
      <c r="Z85" s="7" t="inlineStr">
        <is>
          <t>https://www.grants.gov/search-results-detail/364065</t>
        </is>
      </c>
      <c r="AA85" s="3" t="n"/>
      <c r="AB85" s="2" t="inlineStr">
        <is>
          <t>Aperto</t>
        </is>
      </c>
      <c r="AC85" s="5" t="n">
        <v>46312</v>
      </c>
      <c r="AD85" s="5" t="n">
        <v>46312</v>
      </c>
      <c r="AE85" s="2" t="n"/>
    </row>
    <row r="86">
      <c r="A86" s="2" t="inlineStr">
        <is>
          <t>GG-PAR-28-009</t>
        </is>
      </c>
      <c r="B86" s="2" t="inlineStr">
        <is>
          <t>Grants.gov</t>
        </is>
      </c>
      <c r="C86" s="2" t="inlineStr">
        <is>
          <t>National Institutes of Health – PAR-28-009</t>
        </is>
      </c>
      <c r="D86" s="2" t="inlineStr">
        <is>
          <t>National Institutes of Health</t>
        </is>
      </c>
      <c r="E86" s="3" t="inlineStr">
        <is>
          <t>A Holistic Approach to Study Non-Addictive Natural Products for Pain Management</t>
        </is>
      </c>
      <c r="F86" s="3" t="inlineStr">
        <is>
          <t>A Holistic Approach to Study Non-Addictive Natural Products for Pain Management</t>
        </is>
      </c>
      <c r="G86" s="2" t="inlineStr">
        <is>
          <t>Riabilitazione</t>
        </is>
      </c>
      <c r="H86" s="2" t="inlineStr">
        <is>
          <t>disabilit</t>
        </is>
      </c>
      <c r="I86" s="2" t="inlineStr">
        <is>
          <t>Non analizzato</t>
        </is>
      </c>
      <c r="J86" s="3" t="n"/>
      <c r="K86" s="4" t="n"/>
      <c r="L86" s="4" t="n"/>
      <c r="M86" s="2" t="inlineStr">
        <is>
          <t>USD</t>
        </is>
      </c>
      <c r="N86" s="2" t="n"/>
      <c r="O86" s="3" t="inlineStr">
        <is>
          <t>Non stimabile – dati insufficienti</t>
        </is>
      </c>
      <c r="P86" s="3" t="inlineStr">
        <is>
          <t>100% – nessun cost sharing richiesto</t>
        </is>
      </c>
      <c r="Q86" s="5" t="n">
        <v>46532</v>
      </c>
      <c r="R86" s="6">
        <f>IF(Q86="","",Q86-TODAY())</f>
        <v/>
      </c>
      <c r="S86" s="5" t="n">
        <v>46134</v>
      </c>
      <c r="T86" s="2" t="n"/>
      <c r="U86" s="2" t="n"/>
      <c r="V86" s="3" t="inlineStr">
        <is>
          <t>For profit organizations other than small businesses; Small businesses; Private institutions of higher education; Nonprofits having a 501(c)(3) status with the IRS, other than institutions of higher education; Native American tribal governments (Federally recognized); Others (see text field entitled "Additional Information on Eligibility" for clarification); State governments; Public housing autho</t>
        </is>
      </c>
      <c r="W86" s="3" t="n"/>
      <c r="X86" s="2" t="inlineStr">
        <is>
          <t>Solo enti statunitensi (salvo diversa indicazione)</t>
        </is>
      </c>
      <c r="Y86" s="2" t="inlineStr">
        <is>
          <t>Inglese</t>
        </is>
      </c>
      <c r="Z86" s="7" t="inlineStr">
        <is>
          <t>https://www.grants.gov/search-results-detail/362025</t>
        </is>
      </c>
      <c r="AA86" s="3" t="n"/>
      <c r="AB86" s="2" t="inlineStr">
        <is>
          <t>Aperto</t>
        </is>
      </c>
      <c r="AC86" s="5" t="n">
        <v>46312</v>
      </c>
      <c r="AD86" s="5" t="n">
        <v>46312</v>
      </c>
      <c r="AE86" s="2" t="n"/>
    </row>
    <row r="87">
      <c r="A87" s="2" t="inlineStr">
        <is>
          <t>GG-RFA-AG-26-011</t>
        </is>
      </c>
      <c r="B87" s="2" t="inlineStr">
        <is>
          <t>Grants.gov</t>
        </is>
      </c>
      <c r="C87" s="2" t="inlineStr">
        <is>
          <t>National Institutes of Health – RFA-AG-26-011</t>
        </is>
      </c>
      <c r="D87" s="2" t="inlineStr">
        <is>
          <t>National Institutes of Health</t>
        </is>
      </c>
      <c r="E87" s="3" t="inlineStr">
        <is>
          <t>NIA Expanding Research in AD/ADRD (ERA) Summer Research Education Program (R25 Independent Clinical Trial Not Allowed)</t>
        </is>
      </c>
      <c r="F87" s="3" t="inlineStr">
        <is>
          <t>NIA Expanding Research in AD/ADRD (ERA) Summer Research Education Program (R25 Independent Clinical Trial Not Allowed)</t>
        </is>
      </c>
      <c r="G87" s="2" t="inlineStr">
        <is>
          <t>Invecchiamento</t>
        </is>
      </c>
      <c r="H87" s="2" t="inlineStr">
        <is>
          <t>dementi, alzheimer</t>
        </is>
      </c>
      <c r="I87" s="2" t="inlineStr">
        <is>
          <t>Non analizzato</t>
        </is>
      </c>
      <c r="J87" s="3" t="n"/>
      <c r="K87" s="4" t="n"/>
      <c r="L87" s="4" t="n">
        <v>200000</v>
      </c>
      <c r="M87" s="2" t="inlineStr">
        <is>
          <t>USD</t>
        </is>
      </c>
      <c r="N87" s="2" t="n"/>
      <c r="O87" s="3" t="inlineStr">
        <is>
          <t>Non stimabile – dati insufficienti</t>
        </is>
      </c>
      <c r="P87" s="3" t="inlineStr">
        <is>
          <t>100% – nessun cost sharing richiesto</t>
        </is>
      </c>
      <c r="Q87" s="5" t="n">
        <v>46533</v>
      </c>
      <c r="R87" s="6">
        <f>IF(Q87="","",Q87-TODAY())</f>
        <v/>
      </c>
      <c r="S87" s="5" t="n">
        <v>45902</v>
      </c>
      <c r="T87" s="2" t="n"/>
      <c r="U87" s="2" t="n"/>
      <c r="V87" s="3" t="inlineStr">
        <is>
          <t>City or township governments; Nonprofits that do not have a 501(c)(3) status with the IRS, other than institutions of higher education; Others (see text field entitled "Additional Information on Eligibility" for clarification); State governments; County governments; For profit organizations other than small businesses; Public and State controlled institutions of higher education; Native American t</t>
        </is>
      </c>
      <c r="W87" s="3" t="n"/>
      <c r="X87" s="2" t="inlineStr">
        <is>
          <t>Solo enti statunitensi (salvo diversa indicazione)</t>
        </is>
      </c>
      <c r="Y87" s="2" t="inlineStr">
        <is>
          <t>Inglese</t>
        </is>
      </c>
      <c r="Z87" s="7" t="inlineStr">
        <is>
          <t>https://www.grants.gov/search-results-detail/359655</t>
        </is>
      </c>
      <c r="AA87" s="3" t="n"/>
      <c r="AB87" s="2" t="inlineStr">
        <is>
          <t>Aperto</t>
        </is>
      </c>
      <c r="AC87" s="5" t="n">
        <v>46312</v>
      </c>
      <c r="AD87" s="5" t="n">
        <v>46312</v>
      </c>
      <c r="AE87" s="2" t="n"/>
    </row>
    <row r="88">
      <c r="A88" s="2" t="inlineStr">
        <is>
          <t>GG-RFA-AG-26-010</t>
        </is>
      </c>
      <c r="B88" s="2" t="inlineStr">
        <is>
          <t>Grants.gov</t>
        </is>
      </c>
      <c r="C88" s="2" t="inlineStr">
        <is>
          <t>National Institutes of Health – RFA-AG-26-010</t>
        </is>
      </c>
      <c r="D88" s="2" t="inlineStr">
        <is>
          <t>National Institutes of Health</t>
        </is>
      </c>
      <c r="E88" s="3" t="inlineStr">
        <is>
          <t>NIA Expanding Research in AD/ADRD (ERA) Postbaccalaureate Research Education Program (R25 Independent Clinical Trial Not Allowed)</t>
        </is>
      </c>
      <c r="F88" s="3" t="inlineStr">
        <is>
          <t>NIA Expanding Research in AD/ADRD (ERA) Postbaccalaureate Research Education Program (R25 Independent Clinical Trial Not Allowed)</t>
        </is>
      </c>
      <c r="G88" s="2" t="inlineStr">
        <is>
          <t>Invecchiamento</t>
        </is>
      </c>
      <c r="H88" s="2" t="inlineStr">
        <is>
          <t>dementi, alzheimer</t>
        </is>
      </c>
      <c r="I88" s="2" t="inlineStr">
        <is>
          <t>Non analizzato</t>
        </is>
      </c>
      <c r="J88" s="3" t="n"/>
      <c r="K88" s="4" t="n"/>
      <c r="L88" s="4" t="n">
        <v>400000</v>
      </c>
      <c r="M88" s="2" t="inlineStr">
        <is>
          <t>USD</t>
        </is>
      </c>
      <c r="N88" s="2" t="n"/>
      <c r="O88" s="3" t="inlineStr">
        <is>
          <t>Non stimabile – dati insufficienti</t>
        </is>
      </c>
      <c r="P88" s="3" t="inlineStr">
        <is>
          <t>100% – nessun cost sharing richiesto</t>
        </is>
      </c>
      <c r="Q88" s="5" t="n">
        <v>46533</v>
      </c>
      <c r="R88" s="6">
        <f>IF(Q88="","",Q88-TODAY())</f>
        <v/>
      </c>
      <c r="S88" s="5" t="n">
        <v>45902</v>
      </c>
      <c r="T88" s="2" t="n"/>
      <c r="U88" s="2" t="n"/>
      <c r="V88" s="3" t="inlineStr">
        <is>
          <t>Nonprofits that do not have a 501(c)(3) status with the IRS, other than institutions of higher education; Others (see text field entitled "Additional Information on Eligibility" for clarification); Special district governments; Small businesses; For profit organizations other than small businesses; State governments; Native American tribal organizations (other than Federally recognized tribal gove</t>
        </is>
      </c>
      <c r="W88" s="3" t="n"/>
      <c r="X88" s="2" t="inlineStr">
        <is>
          <t>Solo enti statunitensi (salvo diversa indicazione)</t>
        </is>
      </c>
      <c r="Y88" s="2" t="inlineStr">
        <is>
          <t>Inglese</t>
        </is>
      </c>
      <c r="Z88" s="7" t="inlineStr">
        <is>
          <t>https://www.grants.gov/search-results-detail/359653</t>
        </is>
      </c>
      <c r="AA88" s="3" t="n"/>
      <c r="AB88" s="2" t="inlineStr">
        <is>
          <t>Aperto</t>
        </is>
      </c>
      <c r="AC88" s="5" t="n">
        <v>46312</v>
      </c>
      <c r="AD88" s="5" t="n">
        <v>46312</v>
      </c>
      <c r="AE88" s="2" t="n"/>
    </row>
    <row r="89">
      <c r="A89" s="2" t="inlineStr">
        <is>
          <t>GG-RFA-AI-28-018</t>
        </is>
      </c>
      <c r="B89" s="2" t="inlineStr">
        <is>
          <t>Grants.gov</t>
        </is>
      </c>
      <c r="C89" s="2" t="inlineStr">
        <is>
          <t>National Institutes of Health – RFA-AI-28-018</t>
        </is>
      </c>
      <c r="D89" s="2" t="inlineStr">
        <is>
          <t>National Institutes of Health</t>
        </is>
      </c>
      <c r="E89" s="3" t="inlineStr">
        <is>
          <t>Improved Drug Susceptibility Testing (DST) for Mycobacteria</t>
        </is>
      </c>
      <c r="F89" s="3" t="inlineStr">
        <is>
          <t>Improved Drug Susceptibility Testing (DST) for Mycobacteria</t>
        </is>
      </c>
      <c r="G89" s="2" t="inlineStr">
        <is>
          <t>Invecchiamento</t>
        </is>
      </c>
      <c r="H89" s="2" t="inlineStr">
        <is>
          <t>older adults</t>
        </is>
      </c>
      <c r="I89" s="2" t="inlineStr">
        <is>
          <t>Non analizzato</t>
        </is>
      </c>
      <c r="J89" s="3" t="n"/>
      <c r="K89" s="4" t="n">
        <v>3000000</v>
      </c>
      <c r="L89" s="4" t="n"/>
      <c r="M89" s="2" t="inlineStr">
        <is>
          <t>USD</t>
        </is>
      </c>
      <c r="N89" s="2" t="n">
        <v>3</v>
      </c>
      <c r="O89" s="3" t="inlineStr">
        <is>
          <t>Bassa – 3 progetti finanziabili (stima: tasso storico non disponibile)</t>
        </is>
      </c>
      <c r="P89" s="3" t="inlineStr">
        <is>
          <t>100% – nessun cost sharing richiesto</t>
        </is>
      </c>
      <c r="Q89" s="5" t="n">
        <v>46535</v>
      </c>
      <c r="R89" s="6">
        <f>IF(Q89="","",Q89-TODAY())</f>
        <v/>
      </c>
      <c r="S89" s="5" t="n">
        <v>46197</v>
      </c>
      <c r="T89" s="2" t="n"/>
      <c r="U89" s="2" t="n"/>
      <c r="V89" s="3" t="inlineStr">
        <is>
          <t xml:space="preserve">City or township governments; County governments; Nonprofits that do not have a 501(c)(3) status with the IRS, other than institutions of higher education; Native American tribal governments (Federally recognized); Small businesses; Independent school districts; Public and State controlled institutions of higher education; Nonprofits having a 501(c)(3) status with the IRS, other than institutions </t>
        </is>
      </c>
      <c r="W89" s="3" t="n"/>
      <c r="X89" s="2" t="inlineStr">
        <is>
          <t>Solo enti statunitensi (salvo diversa indicazione)</t>
        </is>
      </c>
      <c r="Y89" s="2" t="inlineStr">
        <is>
          <t>Inglese</t>
        </is>
      </c>
      <c r="Z89" s="7" t="inlineStr">
        <is>
          <t>https://www.grants.gov/search-results-detail/362948</t>
        </is>
      </c>
      <c r="AA89" s="3" t="n"/>
      <c r="AB89" s="2" t="inlineStr">
        <is>
          <t>Aperto</t>
        </is>
      </c>
      <c r="AC89" s="5" t="n">
        <v>46312</v>
      </c>
      <c r="AD89" s="5" t="n">
        <v>46312</v>
      </c>
      <c r="AE89" s="2" t="n"/>
    </row>
    <row r="90">
      <c r="A90" s="2" t="inlineStr">
        <is>
          <t>GG-HHS-2027-ACL-AOA-LRLI-0007</t>
        </is>
      </c>
      <c r="B90" s="2" t="inlineStr">
        <is>
          <t>Grants.gov</t>
        </is>
      </c>
      <c r="C90" s="2" t="inlineStr">
        <is>
          <t>Administration for Community Living – HHS-2027-ACL-AOA-LRLI-0007</t>
        </is>
      </c>
      <c r="D90" s="2" t="inlineStr">
        <is>
          <t>Administration for Community Living</t>
        </is>
      </c>
      <c r="E90" s="3" t="inlineStr">
        <is>
          <t>Lifespan Respite Care Program: State Grants</t>
        </is>
      </c>
      <c r="F90" s="3" t="inlineStr">
        <is>
          <t>Lifespan Respite Care Program: State Grants</t>
        </is>
      </c>
      <c r="G90" s="2" t="inlineStr">
        <is>
          <t>Riabilitazione</t>
        </is>
      </c>
      <c r="H90" s="2" t="inlineStr">
        <is>
          <t>disabilit</t>
        </is>
      </c>
      <c r="I90" s="2" t="inlineStr">
        <is>
          <t>Non analizzato</t>
        </is>
      </c>
      <c r="J90" s="3" t="n"/>
      <c r="K90" s="4" t="n">
        <v>4430133</v>
      </c>
      <c r="L90" s="4" t="n">
        <v>500000</v>
      </c>
      <c r="M90" s="2" t="inlineStr">
        <is>
          <t>USD</t>
        </is>
      </c>
      <c r="N90" s="2" t="n">
        <v>10</v>
      </c>
      <c r="O90" s="3" t="inlineStr">
        <is>
          <t>Media – 10 progetti finanziabili (stima: tasso storico non disponibile)</t>
        </is>
      </c>
      <c r="P90" s="3" t="inlineStr">
        <is>
          <t>Co-finanziamento richiesto (cost sharing)</t>
        </is>
      </c>
      <c r="Q90" s="5" t="n">
        <v>46538</v>
      </c>
      <c r="R90" s="6">
        <f>IF(Q90="","",Q90-TODAY())</f>
        <v/>
      </c>
      <c r="S90" s="5" t="n">
        <v>46290</v>
      </c>
      <c r="T90" s="2" t="n"/>
      <c r="U90" s="2" t="n"/>
      <c r="V90" s="3" t="inlineStr">
        <is>
          <t>State governments</t>
        </is>
      </c>
      <c r="W90" s="3" t="n"/>
      <c r="X90" s="2" t="inlineStr">
        <is>
          <t>Solo enti statunitensi (salvo diversa indicazione)</t>
        </is>
      </c>
      <c r="Y90" s="2" t="inlineStr">
        <is>
          <t>Inglese</t>
        </is>
      </c>
      <c r="Z90" s="7" t="inlineStr">
        <is>
          <t>https://www.grants.gov/search-results-detail/363976</t>
        </is>
      </c>
      <c r="AA90" s="3" t="n"/>
      <c r="AB90" s="2" t="inlineStr">
        <is>
          <t>Aperto</t>
        </is>
      </c>
      <c r="AC90" s="5" t="n">
        <v>46312</v>
      </c>
      <c r="AD90" s="5" t="n">
        <v>46312</v>
      </c>
      <c r="AE90" s="2" t="n"/>
    </row>
    <row r="91">
      <c r="A91" s="2" t="inlineStr">
        <is>
          <t>GG-RFA-AG-28-009</t>
        </is>
      </c>
      <c r="B91" s="2" t="inlineStr">
        <is>
          <t>Grants.gov</t>
        </is>
      </c>
      <c r="C91" s="2" t="inlineStr">
        <is>
          <t>National Institutes of Health – RFA-AG-28-009</t>
        </is>
      </c>
      <c r="D91" s="2" t="inlineStr">
        <is>
          <t>National Institutes of Health</t>
        </is>
      </c>
      <c r="E91" s="3" t="inlineStr">
        <is>
          <t>Alzheimer's Drug-Development Program (U01 Clinical Trial Optional)</t>
        </is>
      </c>
      <c r="F91" s="3" t="inlineStr">
        <is>
          <t>Alzheimer's Drug-Development Program (U01 Clinical Trial Optional)</t>
        </is>
      </c>
      <c r="G91" s="2" t="inlineStr">
        <is>
          <t>Invecchiamento</t>
        </is>
      </c>
      <c r="H91" s="2" t="inlineStr">
        <is>
          <t>alzheimer, aging</t>
        </is>
      </c>
      <c r="I91" s="2" t="inlineStr">
        <is>
          <t>Non analizzato</t>
        </is>
      </c>
      <c r="J91" s="3" t="n"/>
      <c r="K91" s="4" t="n"/>
      <c r="L91" s="4" t="n"/>
      <c r="M91" s="2" t="inlineStr">
        <is>
          <t>USD</t>
        </is>
      </c>
      <c r="N91" s="2" t="n"/>
      <c r="O91" s="3" t="inlineStr">
        <is>
          <t>Non stimabile – dati insufficienti</t>
        </is>
      </c>
      <c r="P91" s="3" t="inlineStr">
        <is>
          <t>100% – nessun cost sharing richiesto</t>
        </is>
      </c>
      <c r="Q91" s="5" t="n">
        <v>46556</v>
      </c>
      <c r="R91" s="6">
        <f>IF(Q91="","",Q91-TODAY())</f>
        <v/>
      </c>
      <c r="S91" s="5" t="n">
        <v>46247</v>
      </c>
      <c r="T91" s="2" t="n"/>
      <c r="U91" s="2" t="n"/>
      <c r="V91" s="3" t="inlineStr">
        <is>
          <t xml:space="preserve">Others (see text field entitled "Additional Information on Eligibility" for clarification); Public housing authorities/Indian housing authorities; Public and State controlled institutions of higher education; Small businesses; Special district governments; Nonprofits that do not have a 501(c)(3) status with the IRS, other than institutions of higher education; Independent school districts; Native </t>
        </is>
      </c>
      <c r="W91" s="3" t="n"/>
      <c r="X91" s="2" t="inlineStr">
        <is>
          <t>Solo enti statunitensi (salvo diversa indicazione)</t>
        </is>
      </c>
      <c r="Y91" s="2" t="inlineStr">
        <is>
          <t>Inglese</t>
        </is>
      </c>
      <c r="Z91" s="7" t="inlineStr">
        <is>
          <t>https://www.grants.gov/search-results-detail/363557</t>
        </is>
      </c>
      <c r="AA91" s="3" t="n"/>
      <c r="AB91" s="2" t="inlineStr">
        <is>
          <t>Aperto</t>
        </is>
      </c>
      <c r="AC91" s="5" t="n">
        <v>46312</v>
      </c>
      <c r="AD91" s="5" t="n">
        <v>46312</v>
      </c>
      <c r="AE91" s="2" t="n"/>
    </row>
    <row r="92">
      <c r="A92" s="2" t="inlineStr">
        <is>
          <t>GG-RFA-TW-28-001</t>
        </is>
      </c>
      <c r="B92" s="2" t="inlineStr">
        <is>
          <t>Grants.gov</t>
        </is>
      </c>
      <c r="C92" s="2" t="inlineStr">
        <is>
          <t>National Institutes of Health – RFA-TW-28-001</t>
        </is>
      </c>
      <c r="D92" s="2" t="inlineStr">
        <is>
          <t>National Institutes of Health</t>
        </is>
      </c>
      <c r="E92" s="3" t="inlineStr">
        <is>
          <t>Hubs of Interdisciplinary Research and Training in Global Environmental and Occupational Health (GEOHealth)</t>
        </is>
      </c>
      <c r="F92" s="3" t="inlineStr">
        <is>
          <t>Hubs of Interdisciplinary Research and Training in Global Environmental and Occupational Health (GEOHealth)</t>
        </is>
      </c>
      <c r="G92" s="2" t="inlineStr">
        <is>
          <t>Riabilitazione</t>
        </is>
      </c>
      <c r="H92" s="2" t="inlineStr">
        <is>
          <t>disabilit</t>
        </is>
      </c>
      <c r="I92" s="2" t="inlineStr">
        <is>
          <t>Non analizzato</t>
        </is>
      </c>
      <c r="J92" s="3" t="n"/>
      <c r="K92" s="4" t="n"/>
      <c r="L92" s="4" t="n"/>
      <c r="M92" s="2" t="inlineStr">
        <is>
          <t>USD</t>
        </is>
      </c>
      <c r="N92" s="2" t="n"/>
      <c r="O92" s="3" t="inlineStr">
        <is>
          <t>Non stimabile – dati insufficienti</t>
        </is>
      </c>
      <c r="P92" s="3" t="inlineStr">
        <is>
          <t>100% – nessun cost sharing richiesto</t>
        </is>
      </c>
      <c r="Q92" s="5" t="n">
        <v>46652</v>
      </c>
      <c r="R92" s="6">
        <f>IF(Q92="","",Q92-TODAY())</f>
        <v/>
      </c>
      <c r="S92" s="5" t="n">
        <v>46281</v>
      </c>
      <c r="T92" s="2" t="n"/>
      <c r="U92" s="2" t="n"/>
      <c r="V92" s="3" t="inlineStr">
        <is>
          <t>Nonprofits that do not have a 501(c)(3) status with the IRS, other than institutions of higher education; Private institutions of higher education; Public and State controlled institutions of higher education; Nonprofits having a 501(c)(3) status with the IRS, other than institutions of higher education</t>
        </is>
      </c>
      <c r="W92" s="3" t="n"/>
      <c r="X92" s="2" t="inlineStr">
        <is>
          <t>Solo enti statunitensi (salvo diversa indicazione)</t>
        </is>
      </c>
      <c r="Y92" s="2" t="inlineStr">
        <is>
          <t>Inglese</t>
        </is>
      </c>
      <c r="Z92" s="7" t="inlineStr">
        <is>
          <t>https://www.grants.gov/search-results-detail/363873</t>
        </is>
      </c>
      <c r="AA92" s="3" t="n"/>
      <c r="AB92" s="2" t="inlineStr">
        <is>
          <t>Aperto</t>
        </is>
      </c>
      <c r="AC92" s="5" t="n">
        <v>46312</v>
      </c>
      <c r="AD92" s="5" t="n">
        <v>46312</v>
      </c>
      <c r="AE92" s="2" t="n"/>
    </row>
    <row r="93">
      <c r="A93" s="2" t="inlineStr">
        <is>
          <t>GG-RFA-AG-28-001</t>
        </is>
      </c>
      <c r="B93" s="2" t="inlineStr">
        <is>
          <t>Grants.gov</t>
        </is>
      </c>
      <c r="C93" s="2" t="inlineStr">
        <is>
          <t>National Institutes of Health – RFA-AG-28-001</t>
        </is>
      </c>
      <c r="D93" s="2" t="inlineStr">
        <is>
          <t>National Institutes of Health</t>
        </is>
      </c>
      <c r="E93" s="3" t="inlineStr">
        <is>
          <t>Claude D. Pepper Older Americans Independence Centers</t>
        </is>
      </c>
      <c r="F93" s="3" t="inlineStr">
        <is>
          <t>Claude D. Pepper Older Americans Independence Centers</t>
        </is>
      </c>
      <c r="G93" s="2" t="inlineStr">
        <is>
          <t>Invecchiamento</t>
        </is>
      </c>
      <c r="H93" s="2" t="inlineStr">
        <is>
          <t>older persons, geriatr, aging</t>
        </is>
      </c>
      <c r="I93" s="2" t="inlineStr">
        <is>
          <t>Non analizzato</t>
        </is>
      </c>
      <c r="J93" s="3" t="n"/>
      <c r="K93" s="4" t="n"/>
      <c r="L93" s="4" t="n"/>
      <c r="M93" s="2" t="inlineStr">
        <is>
          <t>USD</t>
        </is>
      </c>
      <c r="N93" s="2" t="n"/>
      <c r="O93" s="3" t="inlineStr">
        <is>
          <t>Non stimabile – dati insufficienti</t>
        </is>
      </c>
      <c r="P93" s="3" t="inlineStr">
        <is>
          <t>100% – nessun cost sharing richiesto</t>
        </is>
      </c>
      <c r="Q93" s="5" t="n">
        <v>46655</v>
      </c>
      <c r="R93" s="6">
        <f>IF(Q93="","",Q93-TODAY())</f>
        <v/>
      </c>
      <c r="S93" s="5" t="n">
        <v>46140</v>
      </c>
      <c r="T93" s="2" t="n"/>
      <c r="U93" s="2" t="n"/>
      <c r="V93" s="3" t="inlineStr">
        <is>
          <t>Nonprofits that do not have a 501(c)(3) status with the IRS, other than institutions of higher education; Public housing authorities/Indian housing authorities; Small businesses; For profit organizations other than small businesses; Native American tribal organizations (other than Federally recognized tribal governments); State governments; Public and State controlled institutions of higher educat</t>
        </is>
      </c>
      <c r="W93" s="3" t="n"/>
      <c r="X93" s="2" t="inlineStr">
        <is>
          <t>Solo enti statunitensi (salvo diversa indicazione)</t>
        </is>
      </c>
      <c r="Y93" s="2" t="inlineStr">
        <is>
          <t>Inglese</t>
        </is>
      </c>
      <c r="Z93" s="7" t="inlineStr">
        <is>
          <t>https://www.grants.gov/search-results-detail/362098</t>
        </is>
      </c>
      <c r="AA93" s="3" t="n"/>
      <c r="AB93" s="2" t="inlineStr">
        <is>
          <t>Aperto</t>
        </is>
      </c>
      <c r="AC93" s="5" t="n">
        <v>46312</v>
      </c>
      <c r="AD93" s="5" t="n">
        <v>46312</v>
      </c>
      <c r="AE93" s="2" t="n"/>
    </row>
    <row r="94">
      <c r="A94" s="2" t="inlineStr">
        <is>
          <t>GG-PAR-25-180</t>
        </is>
      </c>
      <c r="B94" s="2" t="inlineStr">
        <is>
          <t>Grants.gov</t>
        </is>
      </c>
      <c r="C94" s="2" t="inlineStr">
        <is>
          <t>National Institutes of Health – PAR-25-180</t>
        </is>
      </c>
      <c r="D94" s="2" t="inlineStr">
        <is>
          <t>National Institutes of Health</t>
        </is>
      </c>
      <c r="E94" s="3" t="inlineStr">
        <is>
          <t>First in Human and Early Stage Clinical Trials of Novel Investigational Drugs or Neuromodulatory Device-based Interventions for Psychiatric Disorders (U01 Clinical Trial Required)</t>
        </is>
      </c>
      <c r="F94" s="3" t="inlineStr">
        <is>
          <t>First in Human and Early Stage Clinical Trials of Novel Investigational Drugs or Neuromodulatory Device-based Interventions for Psychiatric Disorders (U01 Clinical Trial Required)</t>
        </is>
      </c>
      <c r="G94" s="2" t="inlineStr">
        <is>
          <t>Tecnologie riabilitazione</t>
        </is>
      </c>
      <c r="H94" s="2" t="inlineStr">
        <is>
          <t>neuromodulat</t>
        </is>
      </c>
      <c r="I94" s="2" t="inlineStr">
        <is>
          <t>Non analizzato</t>
        </is>
      </c>
      <c r="J94" s="3" t="n"/>
      <c r="K94" s="4" t="n"/>
      <c r="L94" s="4" t="n"/>
      <c r="M94" s="2" t="inlineStr">
        <is>
          <t>USD</t>
        </is>
      </c>
      <c r="N94" s="2" t="n"/>
      <c r="O94" s="3" t="inlineStr">
        <is>
          <t>Non stimabile – dati insufficienti</t>
        </is>
      </c>
      <c r="P94" s="3" t="inlineStr">
        <is>
          <t>100% – nessun cost sharing richiesto</t>
        </is>
      </c>
      <c r="Q94" s="5" t="n">
        <v>46675</v>
      </c>
      <c r="R94" s="6">
        <f>IF(Q94="","",Q94-TODAY())</f>
        <v/>
      </c>
      <c r="S94" s="5" t="n">
        <v>45622</v>
      </c>
      <c r="T94" s="2" t="n"/>
      <c r="U94" s="2" t="n"/>
      <c r="V94" s="3" t="inlineStr">
        <is>
          <t>Public housing authorities/Indian housing authorities; City or township governments; State governments; Small businesses; Others (see text field entitled "Additional Information on Eligibility" for clarification); Native American tribal governments (Federally recognized); Native American tribal organizations (other than Federally recognized tribal governments); Private institutions of higher educa</t>
        </is>
      </c>
      <c r="W94" s="3" t="n"/>
      <c r="X94" s="2" t="inlineStr">
        <is>
          <t>Solo enti statunitensi (salvo diversa indicazione)</t>
        </is>
      </c>
      <c r="Y94" s="2" t="inlineStr">
        <is>
          <t>Inglese</t>
        </is>
      </c>
      <c r="Z94" s="7" t="inlineStr">
        <is>
          <t>https://www.grants.gov/search-results-detail/357424</t>
        </is>
      </c>
      <c r="AA94" s="3" t="n"/>
      <c r="AB94" s="2" t="inlineStr">
        <is>
          <t>Aperto</t>
        </is>
      </c>
      <c r="AC94" s="5" t="n">
        <v>46312</v>
      </c>
      <c r="AD94" s="5" t="n">
        <v>46312</v>
      </c>
      <c r="AE94" s="2" t="n"/>
    </row>
    <row r="95">
      <c r="A95" s="2" t="inlineStr">
        <is>
          <t>GG-RFA-NS-28-007</t>
        </is>
      </c>
      <c r="B95" s="2" t="inlineStr">
        <is>
          <t>Grants.gov</t>
        </is>
      </c>
      <c r="C95" s="2" t="inlineStr">
        <is>
          <t>National Institutes of Health – RFA-NS-28-007</t>
        </is>
      </c>
      <c r="D95" s="2" t="inlineStr">
        <is>
          <t>National Institutes of Health</t>
        </is>
      </c>
      <c r="E95" s="3" t="inlineStr">
        <is>
          <t>Network for Excellence in Neuroscience Clinical Trials (NeuroNEXT) Infrastructure &amp;ndash; Clinical Research Sites (U24 Clinical Trial Not Allowed)</t>
        </is>
      </c>
      <c r="F95" s="3" t="inlineStr">
        <is>
          <t>Network for Excellence in Neuroscience Clinical Trials (NeuroNEXT) Infrastructure &amp;ndash; Clinical Research Sites (U24 Clinical Trial Not Allowed)</t>
        </is>
      </c>
      <c r="G95" s="2" t="inlineStr">
        <is>
          <t>Ictus</t>
        </is>
      </c>
      <c r="H95" s="2" t="inlineStr">
        <is>
          <t>stroke</t>
        </is>
      </c>
      <c r="I95" s="2" t="inlineStr">
        <is>
          <t>Non analizzato</t>
        </is>
      </c>
      <c r="J95" s="3" t="n"/>
      <c r="K95" s="4" t="n"/>
      <c r="L95" s="4" t="n"/>
      <c r="M95" s="2" t="inlineStr">
        <is>
          <t>USD</t>
        </is>
      </c>
      <c r="N95" s="2" t="n"/>
      <c r="O95" s="3" t="inlineStr">
        <is>
          <t>Non stimabile – dati insufficienti</t>
        </is>
      </c>
      <c r="P95" s="3" t="inlineStr">
        <is>
          <t>100% – nessun cost sharing richiesto</t>
        </is>
      </c>
      <c r="Q95" s="5" t="n">
        <v>46692</v>
      </c>
      <c r="R95" s="6">
        <f>IF(Q95="","",Q95-TODAY())</f>
        <v/>
      </c>
      <c r="S95" s="5" t="n">
        <v>46275</v>
      </c>
      <c r="T95" s="2" t="n"/>
      <c r="U95" s="2" t="n"/>
      <c r="V95" s="3" t="inlineStr">
        <is>
          <t>Public and State controlled institutions of higher education; For profit organizations other than small businesses; Others (see text field entitled "Additional Information on Eligibility" for clarification); State governments; County governments; Native American tribal organizations (other than Federally recognized tribal governments); Small businesses; City or township governments; Special distri</t>
        </is>
      </c>
      <c r="W95" s="3" t="n"/>
      <c r="X95" s="2" t="inlineStr">
        <is>
          <t>Solo enti statunitensi (salvo diversa indicazione)</t>
        </is>
      </c>
      <c r="Y95" s="2" t="inlineStr">
        <is>
          <t>Inglese</t>
        </is>
      </c>
      <c r="Z95" s="7" t="inlineStr">
        <is>
          <t>https://www.grants.gov/search-results-detail/363835</t>
        </is>
      </c>
      <c r="AA95" s="3" t="n"/>
      <c r="AB95" s="2" t="inlineStr">
        <is>
          <t>Aperto</t>
        </is>
      </c>
      <c r="AC95" s="5" t="n">
        <v>46312</v>
      </c>
      <c r="AD95" s="5" t="n">
        <v>46312</v>
      </c>
      <c r="AE95" s="2" t="n"/>
    </row>
    <row r="96">
      <c r="A96" s="2" t="inlineStr">
        <is>
          <t>GG-PAR-25-297</t>
        </is>
      </c>
      <c r="B96" s="2" t="inlineStr">
        <is>
          <t>Grants.gov</t>
        </is>
      </c>
      <c r="C96" s="2" t="inlineStr">
        <is>
          <t>National Institutes of Health – PAR-25-297</t>
        </is>
      </c>
      <c r="D96" s="2" t="inlineStr">
        <is>
          <t>National Institutes of Health</t>
        </is>
      </c>
      <c r="E96" s="3" t="inlineStr">
        <is>
          <t>Alzheimer's Drug-Development Program (U01 Clinical Trial Optional)</t>
        </is>
      </c>
      <c r="F96" s="3" t="inlineStr">
        <is>
          <t>Alzheimer's Drug-Development Program (U01 Clinical Trial Optional)</t>
        </is>
      </c>
      <c r="G96" s="2" t="inlineStr">
        <is>
          <t>Invecchiamento</t>
        </is>
      </c>
      <c r="H96" s="2" t="inlineStr">
        <is>
          <t>alzheimer</t>
        </is>
      </c>
      <c r="I96" s="2" t="inlineStr">
        <is>
          <t>Non analizzato</t>
        </is>
      </c>
      <c r="J96" s="3" t="n"/>
      <c r="K96" s="4" t="n"/>
      <c r="L96" s="4" t="n">
        <v>1500000</v>
      </c>
      <c r="M96" s="2" t="inlineStr">
        <is>
          <t>USD</t>
        </is>
      </c>
      <c r="N96" s="2" t="n"/>
      <c r="O96" s="3" t="inlineStr">
        <is>
          <t>Non stimabile – dati insufficienti</t>
        </is>
      </c>
      <c r="P96" s="3" t="inlineStr">
        <is>
          <t>100% – nessun cost sharing richiesto</t>
        </is>
      </c>
      <c r="Q96" s="5" t="n">
        <v>46696</v>
      </c>
      <c r="R96" s="6">
        <f>IF(Q96="","",Q96-TODAY())</f>
        <v/>
      </c>
      <c r="S96" s="5" t="n">
        <v>45630</v>
      </c>
      <c r="T96" s="2" t="n"/>
      <c r="U96" s="2" t="n"/>
      <c r="V96" s="3" t="inlineStr">
        <is>
          <t>County governments; Nonprofits having a 501(c)(3) status with the IRS, other than institutions of higher education; Native American tribal governments (Federally recognized); Public and State controlled institutions of higher education; Special district governments; Private institutions of higher education; Independent school districts; City or township governments; Others (see text field entitled</t>
        </is>
      </c>
      <c r="W96" s="3" t="n"/>
      <c r="X96" s="2" t="inlineStr">
        <is>
          <t>Solo enti statunitensi (salvo diversa indicazione)</t>
        </is>
      </c>
      <c r="Y96" s="2" t="inlineStr">
        <is>
          <t>Inglese</t>
        </is>
      </c>
      <c r="Z96" s="7" t="inlineStr">
        <is>
          <t>https://www.grants.gov/search-results-detail/357529</t>
        </is>
      </c>
      <c r="AA96" s="3" t="n"/>
      <c r="AB96" s="2" t="inlineStr">
        <is>
          <t>Aperto</t>
        </is>
      </c>
      <c r="AC96" s="5" t="n">
        <v>46312</v>
      </c>
      <c r="AD96" s="5" t="n">
        <v>46312</v>
      </c>
      <c r="AE96" s="2" t="n"/>
    </row>
    <row r="97">
      <c r="A97" s="2" t="inlineStr">
        <is>
          <t>GG-RFA-DA-27-004</t>
        </is>
      </c>
      <c r="B97" s="2" t="inlineStr">
        <is>
          <t>Grants.gov</t>
        </is>
      </c>
      <c r="C97" s="2" t="inlineStr">
        <is>
          <t>National Institutes of Health – RFA-DA-27-004</t>
        </is>
      </c>
      <c r="D97" s="2" t="inlineStr">
        <is>
          <t>National Institutes of Health</t>
        </is>
      </c>
      <c r="E97" s="3" t="inlineStr">
        <is>
          <t>BRAIN Initiative: Theories, Models and Methods for Analysis of Complex Data from the Brain (R01 Clinical Trial Not Allowed)</t>
        </is>
      </c>
      <c r="F97" s="3" t="inlineStr">
        <is>
          <t>BRAIN Initiative: Theories, Models and Methods for Analysis of Complex Data from the Brain (R01 Clinical Trial Not Allowed)</t>
        </is>
      </c>
      <c r="G97" s="2" t="inlineStr">
        <is>
          <t>Parkinson</t>
        </is>
      </c>
      <c r="H97" s="2" t="inlineStr">
        <is>
          <t>parkinson</t>
        </is>
      </c>
      <c r="I97" s="2" t="inlineStr">
        <is>
          <t>Non analizzato</t>
        </is>
      </c>
      <c r="J97" s="3" t="n"/>
      <c r="K97" s="4" t="n"/>
      <c r="L97" s="4" t="n"/>
      <c r="M97" s="2" t="inlineStr">
        <is>
          <t>USD</t>
        </is>
      </c>
      <c r="N97" s="2" t="n"/>
      <c r="O97" s="3" t="inlineStr">
        <is>
          <t>Non stimabile – dati insufficienti</t>
        </is>
      </c>
      <c r="P97" s="3" t="inlineStr">
        <is>
          <t>100% – nessun cost sharing richiesto</t>
        </is>
      </c>
      <c r="Q97" s="5" t="n">
        <v>46699</v>
      </c>
      <c r="R97" s="6">
        <f>IF(Q97="","",Q97-TODAY())</f>
        <v/>
      </c>
      <c r="S97" s="5" t="n">
        <v>45916</v>
      </c>
      <c r="T97" s="2" t="n"/>
      <c r="U97" s="2" t="n"/>
      <c r="V97" s="3" t="inlineStr">
        <is>
          <t>City or township governments; Others (see text field entitled "Additional Information on Eligibility" for clarification); Private institutions of higher education; Special district governments; Nonprofits having a 501(c)(3) status with the IRS, other than institutions of higher education; Native American tribal governments (Federally recognized); State governments; County governments; Native Ameri</t>
        </is>
      </c>
      <c r="W97" s="3" t="n"/>
      <c r="X97" s="2" t="inlineStr">
        <is>
          <t>Solo enti statunitensi (salvo diversa indicazione)</t>
        </is>
      </c>
      <c r="Y97" s="2" t="inlineStr">
        <is>
          <t>Inglese</t>
        </is>
      </c>
      <c r="Z97" s="7" t="inlineStr">
        <is>
          <t>https://www.grants.gov/search-results-detail/359068</t>
        </is>
      </c>
      <c r="AA97" s="3" t="n"/>
      <c r="AB97" s="2" t="inlineStr">
        <is>
          <t>Aperto</t>
        </is>
      </c>
      <c r="AC97" s="5" t="n">
        <v>46312</v>
      </c>
      <c r="AD97" s="5" t="n">
        <v>46312</v>
      </c>
      <c r="AE97" s="2" t="n"/>
    </row>
    <row r="98">
      <c r="A98" s="2" t="inlineStr">
        <is>
          <t>GG-PAR-24-321</t>
        </is>
      </c>
      <c r="B98" s="2" t="inlineStr">
        <is>
          <t>Grants.gov</t>
        </is>
      </c>
      <c r="C98" s="2" t="inlineStr">
        <is>
          <t>National Institutes of Health – PAR-24-321</t>
        </is>
      </c>
      <c r="D98" s="2" t="inlineStr">
        <is>
          <t>National Institutes of Health</t>
        </is>
      </c>
      <c r="E98" s="3" t="inlineStr">
        <is>
          <t>NIA Academic Leadership Career Award (K07 Independent Clinical Trial Not Allowed)</t>
        </is>
      </c>
      <c r="F98" s="3" t="inlineStr">
        <is>
          <t>NIA Academic Leadership Career Award (K07 Independent Clinical Trial Not Allowed)</t>
        </is>
      </c>
      <c r="G98" s="2" t="inlineStr">
        <is>
          <t>Invecchiamento</t>
        </is>
      </c>
      <c r="H98" s="2" t="inlineStr">
        <is>
          <t>dementi, alzheimer, aging</t>
        </is>
      </c>
      <c r="I98" s="2" t="inlineStr">
        <is>
          <t>Non analizzato</t>
        </is>
      </c>
      <c r="J98" s="3" t="n"/>
      <c r="K98" s="4" t="n"/>
      <c r="L98" s="4" t="n"/>
      <c r="M98" s="2" t="inlineStr">
        <is>
          <t>USD</t>
        </is>
      </c>
      <c r="N98" s="2" t="n"/>
      <c r="O98" s="3" t="inlineStr">
        <is>
          <t>Non stimabile – dati insufficienti</t>
        </is>
      </c>
      <c r="P98" s="3" t="inlineStr">
        <is>
          <t>100% – nessun cost sharing richiesto</t>
        </is>
      </c>
      <c r="Q98" s="5" t="n">
        <v>46703</v>
      </c>
      <c r="R98" s="6">
        <f>IF(Q98="","",Q98-TODAY())</f>
        <v/>
      </c>
      <c r="S98" s="5" t="n">
        <v>45602</v>
      </c>
      <c r="T98" s="2" t="n"/>
      <c r="U98" s="2" t="n"/>
      <c r="V98" s="3" t="inlineStr">
        <is>
          <t>Small businesses; City or township governments; State governments; Independent school districts; Native American tribal governments (Federally recognized); Private institutions of higher education; Public and State controlled institutions of higher education; Native American tribal organizations (other than Federally recognized tribal governments); Special district governments; Others (see text fi</t>
        </is>
      </c>
      <c r="W98" s="3" t="n"/>
      <c r="X98" s="2" t="inlineStr">
        <is>
          <t>Solo enti statunitensi (salvo diversa indicazione)</t>
        </is>
      </c>
      <c r="Y98" s="2" t="inlineStr">
        <is>
          <t>Inglese</t>
        </is>
      </c>
      <c r="Z98" s="7" t="inlineStr">
        <is>
          <t>https://www.grants.gov/search-results-detail/357000</t>
        </is>
      </c>
      <c r="AA98" s="3" t="n"/>
      <c r="AB98" s="2" t="inlineStr">
        <is>
          <t>Aperto</t>
        </is>
      </c>
      <c r="AC98" s="5" t="n">
        <v>46312</v>
      </c>
      <c r="AD98" s="5" t="n">
        <v>46312</v>
      </c>
      <c r="AE98" s="2" t="n"/>
    </row>
    <row r="99">
      <c r="A99" s="2" t="inlineStr">
        <is>
          <t>GG-PAR-25-311</t>
        </is>
      </c>
      <c r="B99" s="2" t="inlineStr">
        <is>
          <t>Grants.gov</t>
        </is>
      </c>
      <c r="C99" s="2" t="inlineStr">
        <is>
          <t>National Institutes of Health – PAR-25-311</t>
        </is>
      </c>
      <c r="D99" s="2" t="inlineStr">
        <is>
          <t>National Institutes of Health</t>
        </is>
      </c>
      <c r="E99" s="3" t="inlineStr">
        <is>
          <t>Leveraging Network Infrastructure to Conduct Innovative Research for Women, Children, Pregnant and Lactating Women, and Persons with Disabilities (UG3/UH3 - Clinical Trial Optional)</t>
        </is>
      </c>
      <c r="F99" s="3" t="inlineStr">
        <is>
          <t>Leveraging Network Infrastructure to Conduct Innovative Research for Women, Children, Pregnant and Lactating Women, and Persons with Disabilities (UG3/UH3 - Clinical Trial Optional)</t>
        </is>
      </c>
      <c r="G99" s="2" t="inlineStr">
        <is>
          <t>Riabilitazione</t>
        </is>
      </c>
      <c r="H99" s="2" t="inlineStr">
        <is>
          <t>persons with disabilities</t>
        </is>
      </c>
      <c r="I99" s="2" t="inlineStr">
        <is>
          <t>Non analizzato</t>
        </is>
      </c>
      <c r="J99" s="3" t="n"/>
      <c r="K99" s="4" t="n"/>
      <c r="L99" s="4" t="n">
        <v>6250000</v>
      </c>
      <c r="M99" s="2" t="inlineStr">
        <is>
          <t>USD</t>
        </is>
      </c>
      <c r="N99" s="2" t="n"/>
      <c r="O99" s="3" t="inlineStr">
        <is>
          <t>Non stimabile – dati insufficienti</t>
        </is>
      </c>
      <c r="P99" s="3" t="inlineStr">
        <is>
          <t>100% – nessun cost sharing richiesto</t>
        </is>
      </c>
      <c r="Q99" s="5" t="n">
        <v>46706</v>
      </c>
      <c r="R99" s="6">
        <f>IF(Q99="","",Q99-TODAY())</f>
        <v/>
      </c>
      <c r="S99" s="5" t="n">
        <v>45642</v>
      </c>
      <c r="T99" s="2" t="n"/>
      <c r="U99" s="2" t="n"/>
      <c r="V99" s="3" t="inlineStr">
        <is>
          <t>For profit organizations other than small businesses; State governments; Nonprofits that do not have a 501(c)(3) status with the IRS, other than institutions of higher education; Nonprofits having a 501(c)(3) status with the IRS, other than institutions of higher education; County governments; Native American tribal organizations (other than Federally recognized tribal governments); Special distri</t>
        </is>
      </c>
      <c r="W99" s="3" t="n"/>
      <c r="X99" s="2" t="inlineStr">
        <is>
          <t>Solo enti statunitensi (salvo diversa indicazione)</t>
        </is>
      </c>
      <c r="Y99" s="2" t="inlineStr">
        <is>
          <t>Inglese</t>
        </is>
      </c>
      <c r="Z99" s="7" t="inlineStr">
        <is>
          <t>https://www.grants.gov/search-results-detail/357730</t>
        </is>
      </c>
      <c r="AA99" s="3" t="n"/>
      <c r="AB99" s="2" t="inlineStr">
        <is>
          <t>Aperto</t>
        </is>
      </c>
      <c r="AC99" s="5" t="n">
        <v>46312</v>
      </c>
      <c r="AD99" s="5" t="n">
        <v>46312</v>
      </c>
      <c r="AE99" s="2" t="n"/>
    </row>
    <row r="100">
      <c r="A100" s="2" t="inlineStr">
        <is>
          <t>GG-PAS-25-205</t>
        </is>
      </c>
      <c r="B100" s="2" t="inlineStr">
        <is>
          <t>Grants.gov</t>
        </is>
      </c>
      <c r="C100" s="2" t="inlineStr">
        <is>
          <t>National Institutes of Health – PAS-25-205</t>
        </is>
      </c>
      <c r="D100" s="2" t="inlineStr">
        <is>
          <t>National Institutes of Health</t>
        </is>
      </c>
      <c r="E100" s="3" t="inlineStr">
        <is>
          <t>Stimulating Hematology Investigation: New Endeavors (SHINE) (R01 Clinical Trial Not Allowed)</t>
        </is>
      </c>
      <c r="F100" s="3" t="inlineStr">
        <is>
          <t>Stimulating Hematology Investigation: New Endeavors (SHINE) (R01 Clinical Trial Not Allowed)</t>
        </is>
      </c>
      <c r="G100" s="2" t="inlineStr">
        <is>
          <t>Invecchiamento</t>
        </is>
      </c>
      <c r="H100" s="2" t="inlineStr">
        <is>
          <t>aging</t>
        </is>
      </c>
      <c r="I100" s="2" t="inlineStr">
        <is>
          <t>Non analizzato</t>
        </is>
      </c>
      <c r="J100" s="3" t="n"/>
      <c r="K100" s="4" t="n"/>
      <c r="L100" s="4" t="n"/>
      <c r="M100" s="2" t="inlineStr">
        <is>
          <t>USD</t>
        </is>
      </c>
      <c r="N100" s="2" t="n"/>
      <c r="O100" s="3" t="inlineStr">
        <is>
          <t>Non stimabile – dati insufficienti</t>
        </is>
      </c>
      <c r="P100" s="3" t="inlineStr">
        <is>
          <t>100% – nessun cost sharing richiesto</t>
        </is>
      </c>
      <c r="Q100" s="5" t="n">
        <v>46758</v>
      </c>
      <c r="R100" s="6">
        <f>IF(Q100="","",Q100-TODAY())</f>
        <v/>
      </c>
      <c r="S100" s="5" t="n">
        <v>45602</v>
      </c>
      <c r="T100" s="2" t="n"/>
      <c r="U100" s="2" t="n"/>
      <c r="V100" s="3" t="inlineStr">
        <is>
          <t>Special district governments; Private institutions of higher education; Small businesses; Native American tribal governments (Federally recognized); Others (see text field entitled "Additional Information on Eligibility" for clarification); State governments; Public housing authorities/Indian housing authorities; Independent school districts; Public and State controlled institutions of higher educ</t>
        </is>
      </c>
      <c r="W100" s="3" t="n"/>
      <c r="X100" s="2" t="inlineStr">
        <is>
          <t>Solo enti statunitensi (salvo diversa indicazione)</t>
        </is>
      </c>
      <c r="Y100" s="2" t="inlineStr">
        <is>
          <t>Inglese</t>
        </is>
      </c>
      <c r="Z100" s="7" t="inlineStr">
        <is>
          <t>https://www.grants.gov/search-results-detail/357004</t>
        </is>
      </c>
      <c r="AA100" s="3" t="n"/>
      <c r="AB100" s="2" t="inlineStr">
        <is>
          <t>Aperto</t>
        </is>
      </c>
      <c r="AC100" s="5" t="n">
        <v>46312</v>
      </c>
      <c r="AD100" s="5" t="n">
        <v>46312</v>
      </c>
      <c r="AE100" s="2" t="n"/>
    </row>
    <row r="101">
      <c r="A101" s="2" t="inlineStr">
        <is>
          <t>GG-PAR-25-124</t>
        </is>
      </c>
      <c r="B101" s="2" t="inlineStr">
        <is>
          <t>Grants.gov</t>
        </is>
      </c>
      <c r="C101" s="2" t="inlineStr">
        <is>
          <t>National Institutes of Health – PAR-25-124</t>
        </is>
      </c>
      <c r="D101" s="2" t="inlineStr">
        <is>
          <t>National Institutes of Health</t>
        </is>
      </c>
      <c r="E101" s="3" t="inlineStr">
        <is>
          <t>NCMRR Early Career Research Award (R03 Clinical Trial Optional)</t>
        </is>
      </c>
      <c r="F101" s="3" t="inlineStr">
        <is>
          <t>NCMRR Early Career Research Award (R03 Clinical Trial Optional)</t>
        </is>
      </c>
      <c r="G101" s="2" t="inlineStr">
        <is>
          <t>Riabilitazione</t>
        </is>
      </c>
      <c r="H101" s="2" t="inlineStr">
        <is>
          <t>rehabilitat</t>
        </is>
      </c>
      <c r="I101" s="2" t="inlineStr">
        <is>
          <t>Non analizzato</t>
        </is>
      </c>
      <c r="J101" s="3" t="n"/>
      <c r="K101" s="4" t="n">
        <v>200000</v>
      </c>
      <c r="L101" s="4" t="n">
        <v>200000</v>
      </c>
      <c r="M101" s="2" t="inlineStr">
        <is>
          <t>USD</t>
        </is>
      </c>
      <c r="N101" s="2" t="n">
        <v>1</v>
      </c>
      <c r="O101" s="3" t="inlineStr">
        <is>
          <t>Bassa – 1 progetti finanziabili (stima: tasso storico non disponibile)</t>
        </is>
      </c>
      <c r="P101" s="3" t="inlineStr">
        <is>
          <t>100% – nessun cost sharing richiesto</t>
        </is>
      </c>
      <c r="Q101" s="5" t="n">
        <v>46759</v>
      </c>
      <c r="R101" s="6">
        <f>IF(Q101="","",Q101-TODAY())</f>
        <v/>
      </c>
      <c r="S101" s="5" t="n">
        <v>45614</v>
      </c>
      <c r="T101" s="2" t="n"/>
      <c r="U101" s="2" t="n"/>
      <c r="V101" s="3" t="inlineStr">
        <is>
          <t>Nonprofits that do not have a 501(c)(3) status with the IRS, other than institutions of higher education; Native American tribal organizations (other than Federally recognized tribal governments); County governments; Public housing authorities/Indian housing authorities; Nonprofits having a 501(c)(3) status with the IRS, other than institutions of higher education; For profit organizations other t</t>
        </is>
      </c>
      <c r="W101" s="3" t="n"/>
      <c r="X101" s="2" t="inlineStr">
        <is>
          <t>Solo enti statunitensi (salvo diversa indicazione)</t>
        </is>
      </c>
      <c r="Y101" s="2" t="inlineStr">
        <is>
          <t>Inglese</t>
        </is>
      </c>
      <c r="Z101" s="7" t="inlineStr">
        <is>
          <t>https://www.grants.gov/search-results-detail/357206</t>
        </is>
      </c>
      <c r="AA101" s="3" t="n"/>
      <c r="AB101" s="2" t="inlineStr">
        <is>
          <t>Aperto</t>
        </is>
      </c>
      <c r="AC101" s="5" t="n">
        <v>46312</v>
      </c>
      <c r="AD101" s="5" t="n">
        <v>46312</v>
      </c>
      <c r="AE101" s="2" t="n"/>
    </row>
    <row r="102">
      <c r="A102" s="2" t="inlineStr">
        <is>
          <t>GG-PAR-24-273</t>
        </is>
      </c>
      <c r="B102" s="2" t="inlineStr">
        <is>
          <t>Grants.gov</t>
        </is>
      </c>
      <c r="C102" s="2" t="inlineStr">
        <is>
          <t>National Institutes of Health – PAR-24-273</t>
        </is>
      </c>
      <c r="D102" s="2" t="inlineStr">
        <is>
          <t>National Institutes of Health</t>
        </is>
      </c>
      <c r="E102" s="3" t="inlineStr">
        <is>
          <t>Advancing Healthcare for Older Adults from Populations that Experience Health Disparities (R01 - Clinical Trial Optional)</t>
        </is>
      </c>
      <c r="F102" s="3" t="inlineStr">
        <is>
          <t>Advancing Healthcare for Older Adults from Populations that Experience Health Disparities (R01 - Clinical Trial Optional)</t>
        </is>
      </c>
      <c r="G102" s="2" t="inlineStr">
        <is>
          <t>Invecchiamento</t>
        </is>
      </c>
      <c r="H102" s="2" t="inlineStr">
        <is>
          <t>older adults</t>
        </is>
      </c>
      <c r="I102" s="2" t="inlineStr">
        <is>
          <t>Non analizzato</t>
        </is>
      </c>
      <c r="J102" s="3" t="n"/>
      <c r="K102" s="4" t="n"/>
      <c r="L102" s="4" t="n"/>
      <c r="M102" s="2" t="inlineStr">
        <is>
          <t>USD</t>
        </is>
      </c>
      <c r="N102" s="2" t="n"/>
      <c r="O102" s="3" t="inlineStr">
        <is>
          <t>Non stimabile – dati insufficienti</t>
        </is>
      </c>
      <c r="P102" s="3" t="inlineStr">
        <is>
          <t>100% – nessun cost sharing richiesto</t>
        </is>
      </c>
      <c r="Q102" s="5" t="n">
        <v>46759</v>
      </c>
      <c r="R102" s="6">
        <f>IF(Q102="","",Q102-TODAY())</f>
        <v/>
      </c>
      <c r="S102" s="5" t="n">
        <v>45531</v>
      </c>
      <c r="T102" s="2" t="n"/>
      <c r="U102" s="2" t="n"/>
      <c r="V102" s="3" t="inlineStr">
        <is>
          <t>Nonprofits that do not have a 501(c)(3) status with the IRS, other than institutions of higher education; Others (see text field entitled "Additional Information on Eligibility" for clarification); Nonprofits having a 501(c)(3) status with the IRS, other than institutions of higher education; City or township governments; Public housing authorities/Indian housing authorities; County governments; I</t>
        </is>
      </c>
      <c r="W102" s="3" t="n"/>
      <c r="X102" s="2" t="inlineStr">
        <is>
          <t>Solo enti statunitensi (salvo diversa indicazione)</t>
        </is>
      </c>
      <c r="Y102" s="2" t="inlineStr">
        <is>
          <t>Inglese</t>
        </is>
      </c>
      <c r="Z102" s="7" t="inlineStr">
        <is>
          <t>https://www.grants.gov/search-results-detail/356236</t>
        </is>
      </c>
      <c r="AA102" s="3" t="n"/>
      <c r="AB102" s="2" t="inlineStr">
        <is>
          <t>Aperto</t>
        </is>
      </c>
      <c r="AC102" s="5" t="n">
        <v>46312</v>
      </c>
      <c r="AD102" s="5" t="n">
        <v>46312</v>
      </c>
      <c r="AE102" s="2" t="n"/>
    </row>
    <row r="103">
      <c r="A103" s="2" t="inlineStr">
        <is>
          <t>GG-PAR-25-207</t>
        </is>
      </c>
      <c r="B103" s="2" t="inlineStr">
        <is>
          <t>Grants.gov</t>
        </is>
      </c>
      <c r="C103" s="2" t="inlineStr">
        <is>
          <t>National Institutes of Health – PAR-25-207</t>
        </is>
      </c>
      <c r="D103" s="2" t="inlineStr">
        <is>
          <t>National Institutes of Health</t>
        </is>
      </c>
      <c r="E103" s="3" t="inlineStr">
        <is>
          <t>Effectiveness Trials for Post-Acute Interventions and Services to Optimize Longer-term Outcomes (R01 Clinical Trial Required)</t>
        </is>
      </c>
      <c r="F103" s="3" t="inlineStr">
        <is>
          <t>Effectiveness Trials for Post-Acute Interventions and Services to Optimize Longer-term Outcomes (R01 Clinical Trial Required)</t>
        </is>
      </c>
      <c r="G103" s="2" t="inlineStr">
        <is>
          <t>Invecchiamento</t>
        </is>
      </c>
      <c r="H103" s="2" t="inlineStr">
        <is>
          <t>older adults</t>
        </is>
      </c>
      <c r="I103" s="2" t="inlineStr">
        <is>
          <t>Non analizzato</t>
        </is>
      </c>
      <c r="J103" s="3" t="n"/>
      <c r="K103" s="4" t="n"/>
      <c r="L103" s="4" t="n"/>
      <c r="M103" s="2" t="inlineStr">
        <is>
          <t>USD</t>
        </is>
      </c>
      <c r="N103" s="2" t="n"/>
      <c r="O103" s="3" t="inlineStr">
        <is>
          <t>Non stimabile – dati insufficienti</t>
        </is>
      </c>
      <c r="P103" s="3" t="inlineStr">
        <is>
          <t>100% – nessun cost sharing richiesto</t>
        </is>
      </c>
      <c r="Q103" s="5" t="n">
        <v>46759</v>
      </c>
      <c r="R103" s="6">
        <f>IF(Q103="","",Q103-TODAY())</f>
        <v/>
      </c>
      <c r="S103" s="5" t="n">
        <v>45596</v>
      </c>
      <c r="T103" s="2" t="n"/>
      <c r="U103" s="2" t="n"/>
      <c r="V103" s="3" t="inlineStr">
        <is>
          <t>Nonprofits having a 501(c)(3) status with the IRS, other than institutions of higher education; Public and State controlled institutions of higher education; For profit organizations other than small businesses; County governments; Independent school districts; Nonprofits that do not have a 501(c)(3) status with the IRS, other than institutions of higher education; City or township governments; Na</t>
        </is>
      </c>
      <c r="W103" s="3" t="n"/>
      <c r="X103" s="2" t="inlineStr">
        <is>
          <t>Solo enti statunitensi (salvo diversa indicazione)</t>
        </is>
      </c>
      <c r="Y103" s="2" t="inlineStr">
        <is>
          <t>Inglese</t>
        </is>
      </c>
      <c r="Z103" s="7" t="inlineStr">
        <is>
          <t>https://www.grants.gov/search-results-detail/356924</t>
        </is>
      </c>
      <c r="AA103" s="3" t="n"/>
      <c r="AB103" s="2" t="inlineStr">
        <is>
          <t>Aperto</t>
        </is>
      </c>
      <c r="AC103" s="5" t="n">
        <v>46312</v>
      </c>
      <c r="AD103" s="5" t="n">
        <v>46312</v>
      </c>
      <c r="AE103" s="2" t="n"/>
    </row>
    <row r="104">
      <c r="A104" s="2" t="inlineStr">
        <is>
          <t>GG-PAR-25-185</t>
        </is>
      </c>
      <c r="B104" s="2" t="inlineStr">
        <is>
          <t>Grants.gov</t>
        </is>
      </c>
      <c r="C104" s="2" t="inlineStr">
        <is>
          <t>National Institutes of Health – PAR-25-185</t>
        </is>
      </c>
      <c r="D104" s="2" t="inlineStr">
        <is>
          <t>National Institutes of Health</t>
        </is>
      </c>
      <c r="E104" s="3" t="inlineStr">
        <is>
          <t>Screening and Functional Validation of Genomic Variants Associated with Human Congenital Anomalies (R01 Clinical Trial Not Allowed)</t>
        </is>
      </c>
      <c r="F104" s="3" t="inlineStr">
        <is>
          <t>Screening and Functional Validation of Genomic Variants Associated with Human Congenital Anomalies (R01 Clinical Trial Not Allowed)</t>
        </is>
      </c>
      <c r="G104" s="2" t="inlineStr">
        <is>
          <t>Riabilitazione</t>
        </is>
      </c>
      <c r="H104" s="2" t="inlineStr">
        <is>
          <t>disabilit</t>
        </is>
      </c>
      <c r="I104" s="2" t="inlineStr">
        <is>
          <t>Non analizzato</t>
        </is>
      </c>
      <c r="J104" s="3" t="n"/>
      <c r="K104" s="4" t="n"/>
      <c r="L104" s="4" t="n"/>
      <c r="M104" s="2" t="inlineStr">
        <is>
          <t>USD</t>
        </is>
      </c>
      <c r="N104" s="2" t="n"/>
      <c r="O104" s="3" t="inlineStr">
        <is>
          <t>Non stimabile – dati insufficienti</t>
        </is>
      </c>
      <c r="P104" s="3" t="inlineStr">
        <is>
          <t>100% – nessun cost sharing richiesto</t>
        </is>
      </c>
      <c r="Q104" s="5" t="n">
        <v>46759</v>
      </c>
      <c r="R104" s="6">
        <f>IF(Q104="","",Q104-TODAY())</f>
        <v/>
      </c>
      <c r="S104" s="5" t="n">
        <v>45595</v>
      </c>
      <c r="T104" s="2" t="n"/>
      <c r="U104" s="2" t="n"/>
      <c r="V104" s="3" t="inlineStr">
        <is>
          <t xml:space="preserve">Public and State controlled institutions of higher education; Nonprofits having a 501(c)(3) status with the IRS, other than institutions of higher education; Nonprofits that do not have a 501(c)(3) status with the IRS, other than institutions of higher education; County governments; Small businesses; Others (see text field entitled "Additional Information on Eligibility" for clarification); State </t>
        </is>
      </c>
      <c r="W104" s="3" t="n"/>
      <c r="X104" s="2" t="inlineStr">
        <is>
          <t>Solo enti statunitensi (salvo diversa indicazione)</t>
        </is>
      </c>
      <c r="Y104" s="2" t="inlineStr">
        <is>
          <t>Inglese</t>
        </is>
      </c>
      <c r="Z104" s="7" t="inlineStr">
        <is>
          <t>https://www.grants.gov/search-results-detail/356909</t>
        </is>
      </c>
      <c r="AA104" s="3" t="n"/>
      <c r="AB104" s="2" t="inlineStr">
        <is>
          <t>Aperto</t>
        </is>
      </c>
      <c r="AC104" s="5" t="n">
        <v>46312</v>
      </c>
      <c r="AD104" s="5" t="n">
        <v>46312</v>
      </c>
      <c r="AE104" s="2" t="n"/>
    </row>
    <row r="105">
      <c r="A105" s="2" t="inlineStr">
        <is>
          <t>GG-PAR-25-286</t>
        </is>
      </c>
      <c r="B105" s="2" t="inlineStr">
        <is>
          <t>Grants.gov</t>
        </is>
      </c>
      <c r="C105" s="2" t="inlineStr">
        <is>
          <t>National Institutes of Health – PAR-25-286</t>
        </is>
      </c>
      <c r="D105" s="2" t="inlineStr">
        <is>
          <t>National Institutes of Health</t>
        </is>
      </c>
      <c r="E105" s="3" t="inlineStr">
        <is>
          <t>Neuromodulation/Neurostimulation Device Development for Mental Health Applications (R21 Clinical Trial Not Allowed)</t>
        </is>
      </c>
      <c r="F105" s="3" t="inlineStr">
        <is>
          <t>Neuromodulation/Neurostimulation Device Development for Mental Health Applications (R21 Clinical Trial Not Allowed)</t>
        </is>
      </c>
      <c r="G105" s="2" t="inlineStr">
        <is>
          <t>Tecnologie riabilitazione</t>
        </is>
      </c>
      <c r="H105" s="2" t="inlineStr">
        <is>
          <t>neuromodulat</t>
        </is>
      </c>
      <c r="I105" s="2" t="inlineStr">
        <is>
          <t>Non analizzato</t>
        </is>
      </c>
      <c r="J105" s="3" t="n"/>
      <c r="K105" s="4" t="n"/>
      <c r="L105" s="4" t="n"/>
      <c r="M105" s="2" t="inlineStr">
        <is>
          <t>USD</t>
        </is>
      </c>
      <c r="N105" s="2" t="n"/>
      <c r="O105" s="3" t="inlineStr">
        <is>
          <t>Non stimabile – dati insufficienti</t>
        </is>
      </c>
      <c r="P105" s="3" t="inlineStr">
        <is>
          <t>100% – nessun cost sharing richiesto</t>
        </is>
      </c>
      <c r="Q105" s="5" t="n">
        <v>46759</v>
      </c>
      <c r="R105" s="6">
        <f>IF(Q105="","",Q105-TODAY())</f>
        <v/>
      </c>
      <c r="S105" s="5" t="n">
        <v>45617</v>
      </c>
      <c r="T105" s="2" t="n"/>
      <c r="U105" s="2" t="n"/>
      <c r="V105" s="3" t="inlineStr">
        <is>
          <t>Native American tribal governments (Federally recognized); Nonprofits having a 501(c)(3) status with the IRS, other than institutions of higher education; Private institutions of higher education; Small businesses; For profit organizations other than small businesses; State governments; County governments; Native American tribal organizations (other than Federally recognized tribal governments); N</t>
        </is>
      </c>
      <c r="W105" s="3" t="n"/>
      <c r="X105" s="2" t="inlineStr">
        <is>
          <t>Solo enti statunitensi (salvo diversa indicazione)</t>
        </is>
      </c>
      <c r="Y105" s="2" t="inlineStr">
        <is>
          <t>Inglese</t>
        </is>
      </c>
      <c r="Z105" s="7" t="inlineStr">
        <is>
          <t>https://www.grants.gov/search-results-detail/357308</t>
        </is>
      </c>
      <c r="AA105" s="3" t="n"/>
      <c r="AB105" s="2" t="inlineStr">
        <is>
          <t>Aperto</t>
        </is>
      </c>
      <c r="AC105" s="5" t="n">
        <v>46312</v>
      </c>
      <c r="AD105" s="5" t="n">
        <v>46312</v>
      </c>
      <c r="AE105" s="2" t="n"/>
    </row>
    <row r="106">
      <c r="A106" s="2" t="inlineStr">
        <is>
          <t>GG-PAR-25-287</t>
        </is>
      </c>
      <c r="B106" s="2" t="inlineStr">
        <is>
          <t>Grants.gov</t>
        </is>
      </c>
      <c r="C106" s="2" t="inlineStr">
        <is>
          <t>National Institutes of Health – PAR-25-287</t>
        </is>
      </c>
      <c r="D106" s="2" t="inlineStr">
        <is>
          <t>National Institutes of Health</t>
        </is>
      </c>
      <c r="E106" s="3" t="inlineStr">
        <is>
          <t>Neuromodulation/Neurostimulation Device Development for Mental Health Applications (R01 Clinical Trial Not Allowed)</t>
        </is>
      </c>
      <c r="F106" s="3" t="inlineStr">
        <is>
          <t>Neuromodulation/Neurostimulation Device Development for Mental Health Applications (R01 Clinical Trial Not Allowed)</t>
        </is>
      </c>
      <c r="G106" s="2" t="inlineStr">
        <is>
          <t>Tecnologie riabilitazione</t>
        </is>
      </c>
      <c r="H106" s="2" t="inlineStr">
        <is>
          <t>neuromodulat</t>
        </is>
      </c>
      <c r="I106" s="2" t="inlineStr">
        <is>
          <t>Non analizzato</t>
        </is>
      </c>
      <c r="J106" s="3" t="n"/>
      <c r="K106" s="4" t="n"/>
      <c r="L106" s="4" t="n"/>
      <c r="M106" s="2" t="inlineStr">
        <is>
          <t>USD</t>
        </is>
      </c>
      <c r="N106" s="2" t="n"/>
      <c r="O106" s="3" t="inlineStr">
        <is>
          <t>Non stimabile – dati insufficienti</t>
        </is>
      </c>
      <c r="P106" s="3" t="inlineStr">
        <is>
          <t>100% – nessun cost sharing richiesto</t>
        </is>
      </c>
      <c r="Q106" s="5" t="n">
        <v>46759</v>
      </c>
      <c r="R106" s="6">
        <f>IF(Q106="","",Q106-TODAY())</f>
        <v/>
      </c>
      <c r="S106" s="5" t="n">
        <v>45617</v>
      </c>
      <c r="T106" s="2" t="n"/>
      <c r="U106" s="2" t="n"/>
      <c r="V106" s="3" t="inlineStr">
        <is>
          <t>Native American tribal governments (Federally recognized); Native American tribal organizations (other than Federally recognized tribal governments); City or township governments; For profit organizations other than small businesses; State governments; Small businesses; Special district governments; Nonprofits that do not have a 501(c)(3) status with the IRS, other than institutions of higher educ</t>
        </is>
      </c>
      <c r="W106" s="3" t="n"/>
      <c r="X106" s="2" t="inlineStr">
        <is>
          <t>Solo enti statunitensi (salvo diversa indicazione)</t>
        </is>
      </c>
      <c r="Y106" s="2" t="inlineStr">
        <is>
          <t>Inglese</t>
        </is>
      </c>
      <c r="Z106" s="7" t="inlineStr">
        <is>
          <t>https://www.grants.gov/search-results-detail/357309</t>
        </is>
      </c>
      <c r="AA106" s="3" t="n"/>
      <c r="AB106" s="2" t="inlineStr">
        <is>
          <t>Aperto</t>
        </is>
      </c>
      <c r="AC106" s="5" t="n">
        <v>46312</v>
      </c>
      <c r="AD106" s="5" t="n">
        <v>46312</v>
      </c>
      <c r="AE106" s="2" t="n"/>
    </row>
    <row r="107">
      <c r="A107" s="2" t="inlineStr">
        <is>
          <t>GG-RFA-NS-28-008</t>
        </is>
      </c>
      <c r="B107" s="2" t="inlineStr">
        <is>
          <t>Grants.gov</t>
        </is>
      </c>
      <c r="C107" s="2" t="inlineStr">
        <is>
          <t>National Institutes of Health – RFA-NS-28-008</t>
        </is>
      </c>
      <c r="D107" s="2" t="inlineStr">
        <is>
          <t>National Institutes of Health</t>
        </is>
      </c>
      <c r="E107" s="3" t="inlineStr">
        <is>
          <t>NIH Stroke Clinical Trials Network (StrokeNet) Infrastructure &amp;ndash; Regional Coordinating Stroke Centers (RCCs)</t>
        </is>
      </c>
      <c r="F107" s="3" t="inlineStr">
        <is>
          <t>NIH Stroke Clinical Trials Network (StrokeNet) Infrastructure &amp;ndash; Regional Coordinating Stroke Centers (RCCs)</t>
        </is>
      </c>
      <c r="G107" s="2" t="inlineStr">
        <is>
          <t>Ictus</t>
        </is>
      </c>
      <c r="H107" s="2" t="inlineStr">
        <is>
          <t>stroke, rehabilitat</t>
        </is>
      </c>
      <c r="I107" s="2" t="inlineStr">
        <is>
          <t>Non analizzato</t>
        </is>
      </c>
      <c r="J107" s="3" t="n"/>
      <c r="K107" s="4" t="n"/>
      <c r="L107" s="4" t="n"/>
      <c r="M107" s="2" t="inlineStr">
        <is>
          <t>USD</t>
        </is>
      </c>
      <c r="N107" s="2" t="n"/>
      <c r="O107" s="3" t="inlineStr">
        <is>
          <t>Non stimabile – dati insufficienti</t>
        </is>
      </c>
      <c r="P107" s="3" t="inlineStr">
        <is>
          <t>100% – nessun cost sharing richiesto</t>
        </is>
      </c>
      <c r="Q107" s="5" t="n">
        <v>46777</v>
      </c>
      <c r="R107" s="6">
        <f>IF(Q107="","",Q107-TODAY())</f>
        <v/>
      </c>
      <c r="S107" s="5" t="n">
        <v>46275</v>
      </c>
      <c r="T107" s="2" t="n"/>
      <c r="U107" s="2" t="n"/>
      <c r="V107" s="3" t="inlineStr">
        <is>
          <t xml:space="preserve">Public and State controlled institutions of higher education; Native American tribal organizations (other than Federally recognized tribal governments); Nonprofits that do not have a 501(c)(3) status with the IRS, other than institutions of higher education; State governments; Nonprofits having a 501(c)(3) status with the IRS, other than institutions of higher education; Small businesses; Private </t>
        </is>
      </c>
      <c r="W107" s="3" t="n"/>
      <c r="X107" s="2" t="inlineStr">
        <is>
          <t>Solo enti statunitensi (salvo diversa indicazione)</t>
        </is>
      </c>
      <c r="Y107" s="2" t="inlineStr">
        <is>
          <t>Inglese</t>
        </is>
      </c>
      <c r="Z107" s="7" t="inlineStr">
        <is>
          <t>https://www.grants.gov/search-results-detail/363838</t>
        </is>
      </c>
      <c r="AA107" s="3" t="n"/>
      <c r="AB107" s="2" t="inlineStr">
        <is>
          <t>Aperto</t>
        </is>
      </c>
      <c r="AC107" s="5" t="n">
        <v>46312</v>
      </c>
      <c r="AD107" s="5" t="n">
        <v>46312</v>
      </c>
      <c r="AE107" s="2" t="n"/>
    </row>
    <row r="108">
      <c r="A108" s="2" t="inlineStr">
        <is>
          <t>GG-RFA-NS-28-003</t>
        </is>
      </c>
      <c r="B108" s="2" t="inlineStr">
        <is>
          <t>Grants.gov</t>
        </is>
      </c>
      <c r="C108" s="2" t="inlineStr">
        <is>
          <t>National Institutes of Health – RFA-NS-28-003</t>
        </is>
      </c>
      <c r="D108" s="2" t="inlineStr">
        <is>
          <t>National Institutes of Health</t>
        </is>
      </c>
      <c r="E108" s="3" t="inlineStr">
        <is>
          <t>NIH Stroke Clinical Trials Network (StrokeNet) Infrastructure &amp;ndash; National Coordinating Center (NCC) and National Data Management Center (NDMC)</t>
        </is>
      </c>
      <c r="F108" s="3" t="inlineStr">
        <is>
          <t>NIH Stroke Clinical Trials Network (StrokeNet) Infrastructure &amp;ndash; National Coordinating Center (NCC) and National Data Management Center (NDMC)</t>
        </is>
      </c>
      <c r="G108" s="2" t="inlineStr">
        <is>
          <t>Ictus</t>
        </is>
      </c>
      <c r="H108" s="2" t="inlineStr">
        <is>
          <t>stroke, rehabilitat</t>
        </is>
      </c>
      <c r="I108" s="2" t="inlineStr">
        <is>
          <t>Non analizzato</t>
        </is>
      </c>
      <c r="J108" s="3" t="n"/>
      <c r="K108" s="4" t="n"/>
      <c r="L108" s="4" t="n"/>
      <c r="M108" s="2" t="inlineStr">
        <is>
          <t>USD</t>
        </is>
      </c>
      <c r="N108" s="2" t="n">
        <v>2</v>
      </c>
      <c r="O108" s="3" t="inlineStr">
        <is>
          <t>Bassa – 2 progetti finanziabili (stima: tasso storico non disponibile)</t>
        </is>
      </c>
      <c r="P108" s="3" t="inlineStr">
        <is>
          <t>100% – nessun cost sharing richiesto</t>
        </is>
      </c>
      <c r="Q108" s="5" t="n">
        <v>46777</v>
      </c>
      <c r="R108" s="6">
        <f>IF(Q108="","",Q108-TODAY())</f>
        <v/>
      </c>
      <c r="S108" s="5" t="n">
        <v>46275</v>
      </c>
      <c r="T108" s="2" t="n"/>
      <c r="U108" s="2" t="n"/>
      <c r="V108" s="3" t="inlineStr">
        <is>
          <t>Special district governments; Native American tribal governments (Federally recognized); Nonprofits that do not have a 501(c)(3) status with the IRS, other than institutions of higher education; Private institutions of higher education; City or township governments; Nonprofits having a 501(c)(3) status with the IRS, other than institutions of higher education; For profit organizations other than s</t>
        </is>
      </c>
      <c r="W108" s="3" t="n"/>
      <c r="X108" s="2" t="inlineStr">
        <is>
          <t>Solo enti statunitensi (salvo diversa indicazione)</t>
        </is>
      </c>
      <c r="Y108" s="2" t="inlineStr">
        <is>
          <t>Inglese</t>
        </is>
      </c>
      <c r="Z108" s="7" t="inlineStr">
        <is>
          <t>https://www.grants.gov/search-results-detail/363841</t>
        </is>
      </c>
      <c r="AA108" s="3" t="n"/>
      <c r="AB108" s="2" t="inlineStr">
        <is>
          <t>Aperto</t>
        </is>
      </c>
      <c r="AC108" s="5" t="n">
        <v>46312</v>
      </c>
      <c r="AD108" s="5" t="n">
        <v>46312</v>
      </c>
      <c r="AE108" s="2" t="n"/>
    </row>
    <row r="109">
      <c r="A109" s="2" t="inlineStr">
        <is>
          <t>GG-W911NF-23-S-0010</t>
        </is>
      </c>
      <c r="B109" s="2" t="inlineStr">
        <is>
          <t>Grants.gov</t>
        </is>
      </c>
      <c r="C109" s="2" t="inlineStr">
        <is>
          <t>Dept of the Army -- Materiel Command – W911NF-23-S-0010</t>
        </is>
      </c>
      <c r="D109" s="2" t="inlineStr">
        <is>
          <t>Dept of the Army -- Materiel Command</t>
        </is>
      </c>
      <c r="E109" s="3" t="inlineStr">
        <is>
          <t>UNITED STATES ARMY RESEARCH INSTITUTE FOR THE BEHAVIORAL AND SOCIAL SCIENCES (ARI) BROAD AGENCY ANNOUNCEMENT FOR BASIC, APPLIED, AND ADVANCED SCIENTIFIC RESEARCH</t>
        </is>
      </c>
      <c r="F109" s="3" t="inlineStr">
        <is>
          <t>UNITED STATES ARMY RESEARCH INSTITUTE FOR THE BEHAVIORAL AND SOCIAL SCIENCES (ARI) BROAD AGENCY ANNOUNCEMENT FOR BASIC, APPLIED, AND ADVANCED SCIENTIFIC RESEARCH</t>
        </is>
      </c>
      <c r="G109" s="2" t="inlineStr">
        <is>
          <t>Riabilitazione</t>
        </is>
      </c>
      <c r="H109" s="2" t="inlineStr">
        <is>
          <t>disabilit</t>
        </is>
      </c>
      <c r="I109" s="2" t="inlineStr">
        <is>
          <t>Non analizzato</t>
        </is>
      </c>
      <c r="J109" s="3" t="n"/>
      <c r="K109" s="4" t="n"/>
      <c r="L109" s="4" t="n"/>
      <c r="M109" s="2" t="inlineStr">
        <is>
          <t>USD</t>
        </is>
      </c>
      <c r="N109" s="2" t="n">
        <v>1000</v>
      </c>
      <c r="O109" s="3" t="inlineStr">
        <is>
          <t>Alta – 1000 progetti finanziabili (stima: tasso storico non disponibile)</t>
        </is>
      </c>
      <c r="P109" s="3" t="inlineStr">
        <is>
          <t>100% – nessun cost sharing richiesto</t>
        </is>
      </c>
      <c r="Q109" s="5" t="n">
        <v>46873</v>
      </c>
      <c r="R109" s="6">
        <f>IF(Q109="","",Q109-TODAY())</f>
        <v/>
      </c>
      <c r="S109" s="5" t="n">
        <v>45047</v>
      </c>
      <c r="T109" s="2" t="n"/>
      <c r="U109" s="2" t="n"/>
      <c r="V109" s="3" t="inlineStr">
        <is>
          <t>Others (see text field entitled "Additional Information on Eligibility" for clarification)</t>
        </is>
      </c>
      <c r="W109" s="3" t="n"/>
      <c r="X109" s="2" t="inlineStr">
        <is>
          <t>Solo enti statunitensi (salvo diversa indicazione)</t>
        </is>
      </c>
      <c r="Y109" s="2" t="inlineStr">
        <is>
          <t>Inglese</t>
        </is>
      </c>
      <c r="Z109" s="7" t="inlineStr">
        <is>
          <t>https://www.grants.gov/search-results-detail/347858</t>
        </is>
      </c>
      <c r="AA109" s="3" t="n"/>
      <c r="AB109" s="2" t="inlineStr">
        <is>
          <t>Aperto</t>
        </is>
      </c>
      <c r="AC109" s="5" t="n">
        <v>46312</v>
      </c>
      <c r="AD109" s="5" t="n">
        <v>46312</v>
      </c>
      <c r="AE109" s="2" t="n"/>
    </row>
    <row r="110">
      <c r="A110" s="2" t="inlineStr">
        <is>
          <t>GG-PAR-25-374</t>
        </is>
      </c>
      <c r="B110" s="2" t="inlineStr">
        <is>
          <t>Grants.gov</t>
        </is>
      </c>
      <c r="C110" s="2" t="inlineStr">
        <is>
          <t>National Institutes of Health – PAR-25-374</t>
        </is>
      </c>
      <c r="D110" s="2" t="inlineStr">
        <is>
          <t>National Institutes of Health</t>
        </is>
      </c>
      <c r="E110" s="3" t="inlineStr">
        <is>
          <t>Translational Bioinformatics and Experimental Approaches to Advance Drug Repositioning and Combination Therapy Development for Alzheimers Disease and Related Dementias (R01 Clinical Trial Not Allowed)</t>
        </is>
      </c>
      <c r="F110" s="3" t="inlineStr">
        <is>
          <t>Translational Bioinformatics and Experimental Approaches to Advance Drug Repositioning and Combination Therapy Development for Alzheimers Disease and Related Dementias (R01 Clinical Trial Not Allowed)</t>
        </is>
      </c>
      <c r="G110" s="2" t="inlineStr">
        <is>
          <t>Invecchiamento</t>
        </is>
      </c>
      <c r="H110" s="2" t="inlineStr">
        <is>
          <t>dementi, alzheimer</t>
        </is>
      </c>
      <c r="I110" s="2" t="inlineStr">
        <is>
          <t>Non analizzato</t>
        </is>
      </c>
      <c r="J110" s="3" t="n"/>
      <c r="K110" s="4" t="n">
        <v>1000000</v>
      </c>
      <c r="L110" s="4" t="n">
        <v>1000000</v>
      </c>
      <c r="M110" s="2" t="inlineStr">
        <is>
          <t>USD</t>
        </is>
      </c>
      <c r="N110" s="2" t="n">
        <v>1</v>
      </c>
      <c r="O110" s="3" t="inlineStr">
        <is>
          <t>Bassa – 1 progetti finanziabili (stima: tasso storico non disponibile)</t>
        </is>
      </c>
      <c r="P110" s="3" t="inlineStr">
        <is>
          <t>100% – nessun cost sharing richiesto</t>
        </is>
      </c>
      <c r="Q110" s="5" t="n">
        <v>46880</v>
      </c>
      <c r="R110" s="6">
        <f>IF(Q110="","",Q110-TODAY())</f>
        <v/>
      </c>
      <c r="S110" s="5" t="n">
        <v>45656</v>
      </c>
      <c r="T110" s="2" t="n"/>
      <c r="U110" s="2" t="n"/>
      <c r="V110" s="3" t="inlineStr">
        <is>
          <t>Small businesses; Public and State controlled institutions of higher education; Native American tribal governments (Federally recognized); Nonprofits that do not have a 501(c)(3) status with the IRS, other than institutions of higher education; County governments; City or township governments; Others (see text field entitled "Additional Information on Eligibility" for clarification); Nonprofits ha</t>
        </is>
      </c>
      <c r="W110" s="3" t="n"/>
      <c r="X110" s="2" t="inlineStr">
        <is>
          <t>Solo enti statunitensi (salvo diversa indicazione)</t>
        </is>
      </c>
      <c r="Y110" s="2" t="inlineStr">
        <is>
          <t>Inglese</t>
        </is>
      </c>
      <c r="Z110" s="7" t="inlineStr">
        <is>
          <t>https://www.grants.gov/search-results-detail/357943</t>
        </is>
      </c>
      <c r="AA110" s="3" t="n"/>
      <c r="AB110" s="2" t="inlineStr">
        <is>
          <t>Aperto</t>
        </is>
      </c>
      <c r="AC110" s="5" t="n">
        <v>46312</v>
      </c>
      <c r="AD110" s="5" t="n">
        <v>46312</v>
      </c>
      <c r="AE110" s="2" t="n"/>
    </row>
    <row r="111">
      <c r="A111" s="2" t="inlineStr">
        <is>
          <t>GG-PAR-27-112</t>
        </is>
      </c>
      <c r="B111" s="2" t="inlineStr">
        <is>
          <t>Grants.gov</t>
        </is>
      </c>
      <c r="C111" s="2" t="inlineStr">
        <is>
          <t>National Institutes of Health – PAR-27-112</t>
        </is>
      </c>
      <c r="D111" s="2" t="inlineStr">
        <is>
          <t>National Institutes of Health</t>
        </is>
      </c>
      <c r="E111" s="3" t="inlineStr">
        <is>
          <t>Paul B. Beeson Emerging Leaders Career Development Award in Aging (K76 Clinical Trial Not Allowed)</t>
        </is>
      </c>
      <c r="F111" s="3" t="inlineStr">
        <is>
          <t>Paul B. Beeson Emerging Leaders Career Development Award in Aging (K76 Clinical Trial Not Allowed)</t>
        </is>
      </c>
      <c r="G111" s="2" t="inlineStr">
        <is>
          <t>Invecchiamento</t>
        </is>
      </c>
      <c r="H111" s="2" t="inlineStr">
        <is>
          <t>aging</t>
        </is>
      </c>
      <c r="I111" s="2" t="inlineStr">
        <is>
          <t>Non analizzato</t>
        </is>
      </c>
      <c r="J111" s="3" t="n"/>
      <c r="K111" s="4" t="n"/>
      <c r="L111" s="4" t="n"/>
      <c r="M111" s="2" t="inlineStr">
        <is>
          <t>USD</t>
        </is>
      </c>
      <c r="N111" s="2" t="n"/>
      <c r="O111" s="3" t="inlineStr">
        <is>
          <t>Non stimabile – dati insufficienti</t>
        </is>
      </c>
      <c r="P111" s="3" t="inlineStr">
        <is>
          <t>100% – nessun cost sharing richiesto</t>
        </is>
      </c>
      <c r="Q111" s="5" t="n">
        <v>46916</v>
      </c>
      <c r="R111" s="6">
        <f>IF(Q111="","",Q111-TODAY())</f>
        <v/>
      </c>
      <c r="S111" s="5" t="n">
        <v>46266</v>
      </c>
      <c r="T111" s="2" t="n"/>
      <c r="U111" s="2" t="n"/>
      <c r="V111" s="3" t="inlineStr">
        <is>
          <t>Public and State controlled institutions of higher education; City or township governments; For profit organizations other than small businesses; County governments; Native American tribal governments (Federally recognized); Small businesses; Special district governments; Nonprofits having a 501(c)(3) status with the IRS, other than institutions of higher education; Independent school districts; N</t>
        </is>
      </c>
      <c r="W111" s="3" t="n"/>
      <c r="X111" s="2" t="inlineStr">
        <is>
          <t>Solo enti statunitensi (salvo diversa indicazione)</t>
        </is>
      </c>
      <c r="Y111" s="2" t="inlineStr">
        <is>
          <t>Inglese</t>
        </is>
      </c>
      <c r="Z111" s="7" t="inlineStr">
        <is>
          <t>https://www.grants.gov/search-results-detail/360909</t>
        </is>
      </c>
      <c r="AA111" s="3" t="n"/>
      <c r="AB111" s="2" t="inlineStr">
        <is>
          <t>Aperto</t>
        </is>
      </c>
      <c r="AC111" s="5" t="n">
        <v>46312</v>
      </c>
      <c r="AD111" s="5" t="n">
        <v>46312</v>
      </c>
      <c r="AE111" s="2" t="n"/>
    </row>
    <row r="112">
      <c r="A112" s="2" t="inlineStr">
        <is>
          <t>GG-PAR-27-096</t>
        </is>
      </c>
      <c r="B112" s="2" t="inlineStr">
        <is>
          <t>Grants.gov</t>
        </is>
      </c>
      <c r="C112" s="2" t="inlineStr">
        <is>
          <t>National Institutes of Health – PAR-27-096</t>
        </is>
      </c>
      <c r="D112" s="2" t="inlineStr">
        <is>
          <t>National Institutes of Health</t>
        </is>
      </c>
      <c r="E112" s="3" t="inlineStr">
        <is>
          <t>Grants for Early Medical/Surgical Specialists' Transition to Aging Research (GEMSSTAR) (R03 Clinical Trial Optional)</t>
        </is>
      </c>
      <c r="F112" s="3" t="inlineStr">
        <is>
          <t>Grants for Early Medical/Surgical Specialists' Transition to Aging Research (GEMSSTAR) (R03 Clinical Trial Optional)</t>
        </is>
      </c>
      <c r="G112" s="2" t="inlineStr">
        <is>
          <t>Invecchiamento</t>
        </is>
      </c>
      <c r="H112" s="2" t="inlineStr">
        <is>
          <t>geriatr, aging</t>
        </is>
      </c>
      <c r="I112" s="2" t="inlineStr">
        <is>
          <t>Non analizzato</t>
        </is>
      </c>
      <c r="J112" s="3" t="n"/>
      <c r="K112" s="4" t="n"/>
      <c r="L112" s="4" t="n">
        <v>125000</v>
      </c>
      <c r="M112" s="2" t="inlineStr">
        <is>
          <t>USD</t>
        </is>
      </c>
      <c r="N112" s="2" t="n"/>
      <c r="O112" s="3" t="inlineStr">
        <is>
          <t>Non stimabile – dati insufficienti</t>
        </is>
      </c>
      <c r="P112" s="3" t="inlineStr">
        <is>
          <t>100% – nessun cost sharing richiesto</t>
        </is>
      </c>
      <c r="Q112" s="5" t="n">
        <v>46950</v>
      </c>
      <c r="R112" s="6">
        <f>IF(Q112="","",Q112-TODAY())</f>
        <v/>
      </c>
      <c r="S112" s="5" t="n">
        <v>46266</v>
      </c>
      <c r="T112" s="2" t="n"/>
      <c r="U112" s="2" t="n"/>
      <c r="V112" s="3" t="inlineStr">
        <is>
          <t xml:space="preserve">Special district governments; Private institutions of higher education; Nonprofits having a 501(c)(3) status with the IRS, other than institutions of higher education; Independent school districts; Native American tribal governments (Federally recognized); Small businesses; For profit organizations other than small businesses; County governments; Public and State controlled institutions of higher </t>
        </is>
      </c>
      <c r="W112" s="3" t="n"/>
      <c r="X112" s="2" t="inlineStr">
        <is>
          <t>Solo enti statunitensi (salvo diversa indicazione)</t>
        </is>
      </c>
      <c r="Y112" s="2" t="inlineStr">
        <is>
          <t>Inglese</t>
        </is>
      </c>
      <c r="Z112" s="7" t="inlineStr">
        <is>
          <t>https://www.grants.gov/search-results-detail/359940</t>
        </is>
      </c>
      <c r="AA112" s="3" t="n"/>
      <c r="AB112" s="2" t="inlineStr">
        <is>
          <t>Aperto</t>
        </is>
      </c>
      <c r="AC112" s="5" t="n">
        <v>46312</v>
      </c>
      <c r="AD112" s="5" t="n">
        <v>46312</v>
      </c>
      <c r="AE112" s="2" t="n"/>
    </row>
    <row r="113">
      <c r="A113" s="2" t="inlineStr">
        <is>
          <t>GG-F24AS00298</t>
        </is>
      </c>
      <c r="B113" s="2" t="inlineStr">
        <is>
          <t>Grants.gov</t>
        </is>
      </c>
      <c r="C113" s="2" t="inlineStr">
        <is>
          <t>Fish and Wildlife Service – F24AS00298</t>
        </is>
      </c>
      <c r="D113" s="2" t="inlineStr">
        <is>
          <t>Fish and Wildlife Service</t>
        </is>
      </c>
      <c r="E113" s="3" t="inlineStr">
        <is>
          <t>F24AS00298 Cooperative Agriculture</t>
        </is>
      </c>
      <c r="F113" s="3" t="inlineStr">
        <is>
          <t>F24AS00298 Cooperative Agriculture</t>
        </is>
      </c>
      <c r="G113" s="2" t="inlineStr">
        <is>
          <t>Riabilitazione</t>
        </is>
      </c>
      <c r="H113" s="2" t="inlineStr">
        <is>
          <t>rehabilitat</t>
        </is>
      </c>
      <c r="I113" s="2" t="inlineStr">
        <is>
          <t>Non analizzato</t>
        </is>
      </c>
      <c r="J113" s="3" t="n"/>
      <c r="K113" s="4" t="n"/>
      <c r="L113" s="4" t="n"/>
      <c r="M113" s="2" t="inlineStr">
        <is>
          <t>USD</t>
        </is>
      </c>
      <c r="N113" s="2" t="n"/>
      <c r="O113" s="3" t="inlineStr">
        <is>
          <t>Non stimabile – dati insufficienti</t>
        </is>
      </c>
      <c r="P113" s="3" t="inlineStr">
        <is>
          <t>100% – nessun cost sharing richiesto</t>
        </is>
      </c>
      <c r="Q113" s="5" t="n">
        <v>47184</v>
      </c>
      <c r="R113" s="6">
        <f>IF(Q113="","",Q113-TODAY())</f>
        <v/>
      </c>
      <c r="S113" s="5" t="n">
        <v>45357</v>
      </c>
      <c r="T113" s="2" t="n"/>
      <c r="U113" s="2" t="n"/>
      <c r="V113" s="3" t="inlineStr">
        <is>
          <t>Individuals; Small businesses</t>
        </is>
      </c>
      <c r="W113" s="3" t="n"/>
      <c r="X113" s="2" t="inlineStr">
        <is>
          <t>Solo enti statunitensi (salvo diversa indicazione)</t>
        </is>
      </c>
      <c r="Y113" s="2" t="inlineStr">
        <is>
          <t>Inglese</t>
        </is>
      </c>
      <c r="Z113" s="7" t="inlineStr">
        <is>
          <t>https://www.grants.gov/search-results-detail/352845</t>
        </is>
      </c>
      <c r="AA113" s="3" t="n"/>
      <c r="AB113" s="2" t="inlineStr">
        <is>
          <t>Aperto</t>
        </is>
      </c>
      <c r="AC113" s="5" t="n">
        <v>46312</v>
      </c>
      <c r="AD113" s="5" t="n">
        <v>46312</v>
      </c>
      <c r="AE113" s="2" t="n"/>
    </row>
    <row r="114">
      <c r="A114" s="2" t="inlineStr">
        <is>
          <t>GG-PAR-27-065</t>
        </is>
      </c>
      <c r="B114" s="2" t="inlineStr">
        <is>
          <t>Grants.gov</t>
        </is>
      </c>
      <c r="C114" s="2" t="inlineStr">
        <is>
          <t>National Institutes of Health – PAR-27-065</t>
        </is>
      </c>
      <c r="D114" s="2" t="inlineStr">
        <is>
          <t>National Institutes of Health</t>
        </is>
      </c>
      <c r="E114" s="3" t="inlineStr">
        <is>
          <t>NINDS Efficacy and Exploratory Clinical Trials (UG3/UH3 - Clinical Trial Required)</t>
        </is>
      </c>
      <c r="F114" s="3" t="inlineStr">
        <is>
          <t>NINDS Efficacy and Exploratory Clinical Trials (UG3/UH3 - Clinical Trial Required)</t>
        </is>
      </c>
      <c r="G114" s="2" t="inlineStr">
        <is>
          <t>Ictus</t>
        </is>
      </c>
      <c r="H114" s="2" t="inlineStr">
        <is>
          <t>stroke, rehabilitat</t>
        </is>
      </c>
      <c r="I114" s="2" t="inlineStr">
        <is>
          <t>Non analizzato</t>
        </is>
      </c>
      <c r="J114" s="3" t="n"/>
      <c r="K114" s="4" t="n"/>
      <c r="L114" s="4" t="n"/>
      <c r="M114" s="2" t="inlineStr">
        <is>
          <t>USD</t>
        </is>
      </c>
      <c r="N114" s="2" t="n"/>
      <c r="O114" s="3" t="inlineStr">
        <is>
          <t>Non stimabile – dati insufficienti</t>
        </is>
      </c>
      <c r="P114" s="3" t="inlineStr">
        <is>
          <t>100% – nessun cost sharing richiesto</t>
        </is>
      </c>
      <c r="Q114" s="5" t="n">
        <v>47186</v>
      </c>
      <c r="R114" s="6">
        <f>IF(Q114="","",Q114-TODAY())</f>
        <v/>
      </c>
      <c r="S114" s="5" t="n">
        <v>46265</v>
      </c>
      <c r="T114" s="2" t="n"/>
      <c r="U114" s="2" t="n"/>
      <c r="V114" s="3" t="inlineStr">
        <is>
          <t>City or township governments; State governments; Small businesses; Nonprofits having a 501(c)(3) status with the IRS, other than institutions of higher education; For profit organizations other than small businesses; Nonprofits that do not have a 501(c)(3) status with the IRS, other than institutions of higher education; Special district governments; Public and State controlled institutions of hig</t>
        </is>
      </c>
      <c r="W114" s="3" t="n"/>
      <c r="X114" s="2" t="inlineStr">
        <is>
          <t>Solo enti statunitensi (salvo diversa indicazione)</t>
        </is>
      </c>
      <c r="Y114" s="2" t="inlineStr">
        <is>
          <t>Inglese</t>
        </is>
      </c>
      <c r="Z114" s="7" t="inlineStr">
        <is>
          <t>https://www.grants.gov/search-results-detail/360404</t>
        </is>
      </c>
      <c r="AA114" s="3" t="n"/>
      <c r="AB114" s="2" t="inlineStr">
        <is>
          <t>Aperto</t>
        </is>
      </c>
      <c r="AC114" s="5" t="n">
        <v>46312</v>
      </c>
      <c r="AD114" s="5" t="n">
        <v>46312</v>
      </c>
      <c r="AE114" s="2" t="n"/>
    </row>
    <row r="115">
      <c r="A115" s="2" t="inlineStr">
        <is>
          <t>GG-PAR-27-057</t>
        </is>
      </c>
      <c r="B115" s="2" t="inlineStr">
        <is>
          <t>Grants.gov</t>
        </is>
      </c>
      <c r="C115" s="2" t="inlineStr">
        <is>
          <t>National Institutes of Health – PAR-27-057</t>
        </is>
      </c>
      <c r="D115" s="2" t="inlineStr">
        <is>
          <t>National Institutes of Health</t>
        </is>
      </c>
      <c r="E115" s="3" t="inlineStr">
        <is>
          <t>Causal Hypotheses on the Oral-Systemic Health Impacts of Human Behaviors among People with Chronic Conditions (U01 Clinical Trial Not Allowed)</t>
        </is>
      </c>
      <c r="F115" s="3" t="inlineStr">
        <is>
          <t>Causal Hypotheses on the Oral-Systemic Health Impacts of Human Behaviors among People with Chronic Conditions (U01 Clinical Trial Not Allowed)</t>
        </is>
      </c>
      <c r="G115" s="2" t="inlineStr">
        <is>
          <t>Riabilitazione</t>
        </is>
      </c>
      <c r="H115" s="2" t="inlineStr">
        <is>
          <t>disabilit</t>
        </is>
      </c>
      <c r="I115" s="2" t="inlineStr">
        <is>
          <t>Non analizzato</t>
        </is>
      </c>
      <c r="J115" s="3" t="n"/>
      <c r="K115" s="4" t="n"/>
      <c r="L115" s="4" t="n">
        <v>500000</v>
      </c>
      <c r="M115" s="2" t="inlineStr">
        <is>
          <t>USD</t>
        </is>
      </c>
      <c r="N115" s="2" t="n"/>
      <c r="O115" s="3" t="inlineStr">
        <is>
          <t>Non stimabile – dati insufficienti</t>
        </is>
      </c>
      <c r="P115" s="3" t="inlineStr">
        <is>
          <t>100% – nessun cost sharing richiesto</t>
        </is>
      </c>
      <c r="Q115" s="5" t="n">
        <v>47304</v>
      </c>
      <c r="R115" s="6">
        <f>IF(Q115="","",Q115-TODAY())</f>
        <v/>
      </c>
      <c r="S115" s="5" t="n">
        <v>46177</v>
      </c>
      <c r="T115" s="2" t="n"/>
      <c r="U115" s="2" t="n"/>
      <c r="V115" s="3" t="inlineStr">
        <is>
          <t>City or township governments; For profit organizations other than small businesses; County governments; Private institutions of higher education; Public and State controlled institutions of higher education; Native American tribal organizations (other than Federally recognized tribal governments); Nonprofits that do not have a 501(c)(3) status with the IRS, other than institutions of higher educat</t>
        </is>
      </c>
      <c r="W115" s="3" t="n"/>
      <c r="X115" s="2" t="inlineStr">
        <is>
          <t>Solo enti statunitensi (salvo diversa indicazione)</t>
        </is>
      </c>
      <c r="Y115" s="2" t="inlineStr">
        <is>
          <t>Inglese</t>
        </is>
      </c>
      <c r="Z115" s="7" t="inlineStr">
        <is>
          <t>https://www.grants.gov/search-results-detail/360160</t>
        </is>
      </c>
      <c r="AA115" s="3" t="n"/>
      <c r="AB115" s="2" t="inlineStr">
        <is>
          <t>Aperto</t>
        </is>
      </c>
      <c r="AC115" s="5" t="n">
        <v>46312</v>
      </c>
      <c r="AD115" s="5" t="n">
        <v>46312</v>
      </c>
      <c r="AE115" s="2" t="n"/>
    </row>
    <row r="116">
      <c r="A116" s="2" t="inlineStr">
        <is>
          <t>EU-HORIZON-BRIDGING-2027-02-05</t>
        </is>
      </c>
      <c r="B116" s="2" t="inlineStr">
        <is>
          <t>EU Funding &amp; Tenders Portal</t>
        </is>
      </c>
      <c r="C116" s="2" t="inlineStr">
        <is>
          <t>Horizon Europe – HORIZON Innovation Actions</t>
        </is>
      </c>
      <c r="D116" s="2" t="inlineStr">
        <is>
          <t>Commissione europea</t>
        </is>
      </c>
      <c r="E116" s="3" t="inlineStr">
        <is>
          <t>Advancing promising results from Pillar II collaborative research through the innovation journey</t>
        </is>
      </c>
      <c r="F116" s="3" t="inlineStr">
        <is>
          <t>Advancing promising results from Pillar II collaborative research through the innovation journey</t>
        </is>
      </c>
      <c r="G116" s="2" t="inlineStr">
        <is>
          <t>Tecnologie riabilitazione</t>
        </is>
      </c>
      <c r="H116" s="2" t="inlineStr">
        <is>
          <t>robot</t>
        </is>
      </c>
      <c r="I116" s="2" t="inlineStr">
        <is>
          <t>Non analizzato</t>
        </is>
      </c>
      <c r="J116" s="3" t="n"/>
      <c r="K116" s="4" t="n">
        <v>32500000</v>
      </c>
      <c r="L116" s="4" t="n">
        <v>2500000</v>
      </c>
      <c r="M116" s="2" t="inlineStr">
        <is>
          <t>EUR</t>
        </is>
      </c>
      <c r="N116" s="2" t="n">
        <v>13</v>
      </c>
      <c r="O116" s="3" t="inlineStr">
        <is>
          <t>Media – 13 progetti finanziabili (stima: tasso storico non disponibile)</t>
        </is>
      </c>
      <c r="P116" s="3" t="inlineStr">
        <is>
          <t>70% per le imprese, 100% per gli enti non profit</t>
        </is>
      </c>
      <c r="Q116" s="5" t="n">
        <v>46415</v>
      </c>
      <c r="R116" s="6">
        <f>IF(Q116="","",Q116-TODAY())</f>
        <v/>
      </c>
      <c r="S116" s="5" t="n">
        <v>46315</v>
      </c>
      <c r="T116" s="2" t="n"/>
      <c r="U116" s="2" t="inlineStr">
        <is>
          <t>Innovazione</t>
        </is>
      </c>
      <c r="V116" s="3" t="n"/>
      <c r="W116" s="3" t="inlineStr">
        <is>
          <t>Consorzio: min. 3 enti indipendenti da 3 paesi UE/associati (regola standard, verificare il topic)</t>
        </is>
      </c>
      <c r="X116" s="2" t="inlineStr">
        <is>
          <t>Stati membri UE e paesi associati (altri paesi secondo le condizioni del topic)</t>
        </is>
      </c>
      <c r="Y116" s="2" t="inlineStr">
        <is>
          <t>Inglese</t>
        </is>
      </c>
      <c r="Z116" s="7" t="inlineStr">
        <is>
          <t>https://ec.europa.eu/info/funding-tenders/opportunities/portal/screen/opportunities/topic-details/HORIZON-BRIDGING-2027-02-05</t>
        </is>
      </c>
      <c r="AA116" s="3" t="n"/>
      <c r="AB116" s="2" t="inlineStr">
        <is>
          <t>In apertura</t>
        </is>
      </c>
      <c r="AC116" s="5" t="n">
        <v>46312</v>
      </c>
      <c r="AD116" s="5" t="n">
        <v>46312</v>
      </c>
      <c r="AE116" s="2" t="n"/>
    </row>
    <row r="117">
      <c r="A117" s="2" t="inlineStr">
        <is>
          <t>EU-HORIZON-BRIDGING-2027-01-13</t>
        </is>
      </c>
      <c r="B117" s="2" t="inlineStr">
        <is>
          <t>EU Funding &amp; Tenders Portal</t>
        </is>
      </c>
      <c r="C117" s="2" t="inlineStr">
        <is>
          <t>Horizon Europe – HORIZON  Research and Innovation Actions</t>
        </is>
      </c>
      <c r="D117" s="2" t="inlineStr">
        <is>
          <t>Commissione europea</t>
        </is>
      </c>
      <c r="E117" s="3" t="inlineStr">
        <is>
          <t>EU Frontier AI Initiative: Advanced Scaling Frameworks for High-Performance AI Models (RIA) - Apply AI</t>
        </is>
      </c>
      <c r="F117" s="3" t="inlineStr">
        <is>
          <t>EU Frontier AI Initiative: Advanced Scaling Frameworks for High-Performance AI Models (RIA) - Apply AI</t>
        </is>
      </c>
      <c r="G117" s="2" t="inlineStr">
        <is>
          <t>Tecnologie riabilitazione</t>
        </is>
      </c>
      <c r="H117" s="2" t="inlineStr">
        <is>
          <t>robot</t>
        </is>
      </c>
      <c r="I117" s="2" t="inlineStr">
        <is>
          <t>Non analizzato</t>
        </is>
      </c>
      <c r="J117" s="3" t="n"/>
      <c r="K117" s="4" t="n">
        <v>15000000</v>
      </c>
      <c r="L117" s="4" t="n">
        <v>15000000</v>
      </c>
      <c r="M117" s="2" t="inlineStr">
        <is>
          <t>EUR</t>
        </is>
      </c>
      <c r="N117" s="2" t="n">
        <v>1</v>
      </c>
      <c r="O117" s="3" t="inlineStr">
        <is>
          <t>Bassa – 1 progetti finanziabili (stima: tasso storico non disponibile)</t>
        </is>
      </c>
      <c r="P117" s="3" t="inlineStr">
        <is>
          <t>100% – finanziato per intero</t>
        </is>
      </c>
      <c r="Q117" s="5" t="n">
        <v>46434</v>
      </c>
      <c r="R117" s="6">
        <f>IF(Q117="","",Q117-TODAY())</f>
        <v/>
      </c>
      <c r="S117" s="5" t="n">
        <v>46315</v>
      </c>
      <c r="T117" s="2" t="n"/>
      <c r="U117" s="2" t="inlineStr">
        <is>
          <t>Ricerca</t>
        </is>
      </c>
      <c r="V117" s="3" t="n"/>
      <c r="W117" s="3" t="inlineStr">
        <is>
          <t>Consorzio: min. 3 enti indipendenti da 3 paesi UE/associati (regola standard, verificare il topic)</t>
        </is>
      </c>
      <c r="X117" s="2" t="inlineStr">
        <is>
          <t>Stati membri UE e paesi associati (altri paesi secondo le condizioni del topic)</t>
        </is>
      </c>
      <c r="Y117" s="2" t="inlineStr">
        <is>
          <t>Inglese</t>
        </is>
      </c>
      <c r="Z117" s="7" t="inlineStr">
        <is>
          <t>https://ec.europa.eu/info/funding-tenders/opportunities/portal/screen/opportunities/topic-details/HORIZON-BRIDGING-2027-01-13</t>
        </is>
      </c>
      <c r="AA117" s="3" t="n"/>
      <c r="AB117" s="2" t="inlineStr">
        <is>
          <t>In apertura</t>
        </is>
      </c>
      <c r="AC117" s="5" t="n">
        <v>46312</v>
      </c>
      <c r="AD117" s="5" t="n">
        <v>46312</v>
      </c>
      <c r="AE117" s="2" t="n"/>
    </row>
    <row r="118">
      <c r="A118" s="2" t="inlineStr">
        <is>
          <t>EU-HORIZON-HLTH-2027-01-DISEASE-10</t>
        </is>
      </c>
      <c r="B118" s="2" t="inlineStr">
        <is>
          <t>EU Funding &amp; Tenders Portal</t>
        </is>
      </c>
      <c r="C118" s="2" t="inlineStr">
        <is>
          <t>Horizon Europe – HORIZON  Research and Innovation Actions</t>
        </is>
      </c>
      <c r="D118" s="2" t="inlineStr">
        <is>
          <t>Commissione europea</t>
        </is>
      </c>
      <c r="E118" s="3" t="inlineStr">
        <is>
          <t>Prevention and management of chronic non-communicable diseases in children and young people (GACD)</t>
        </is>
      </c>
      <c r="F118" s="3" t="inlineStr">
        <is>
          <t>Prevention and management of chronic non-communicable diseases in children and young people (GACD)</t>
        </is>
      </c>
      <c r="G118" s="2" t="inlineStr">
        <is>
          <t>Riabilitazione</t>
        </is>
      </c>
      <c r="H118" s="2" t="inlineStr">
        <is>
          <t>disabilit</t>
        </is>
      </c>
      <c r="I118" s="2" t="inlineStr">
        <is>
          <t>Non analizzato</t>
        </is>
      </c>
      <c r="J118" s="3" t="n"/>
      <c r="K118" s="4" t="n">
        <v>11800000</v>
      </c>
      <c r="L118" s="4" t="n">
        <v>4000000</v>
      </c>
      <c r="M118" s="2" t="inlineStr">
        <is>
          <t>EUR</t>
        </is>
      </c>
      <c r="N118" s="2" t="n">
        <v>3</v>
      </c>
      <c r="O118" s="3" t="inlineStr">
        <is>
          <t>Bassa – 3 progetti finanziabili (stima: tasso storico non disponibile)</t>
        </is>
      </c>
      <c r="P118" s="3" t="inlineStr">
        <is>
          <t>100% – finanziato per intero</t>
        </is>
      </c>
      <c r="Q118" s="5" t="n">
        <v>46435</v>
      </c>
      <c r="R118" s="6">
        <f>IF(Q118="","",Q118-TODAY())</f>
        <v/>
      </c>
      <c r="S118" s="5" t="n">
        <v>46324</v>
      </c>
      <c r="T118" s="2" t="n"/>
      <c r="U118" s="2" t="inlineStr">
        <is>
          <t>Ricerca</t>
        </is>
      </c>
      <c r="V118" s="3" t="n"/>
      <c r="W118" s="3" t="inlineStr">
        <is>
          <t>Consorzio: min. 3 enti indipendenti da 3 paesi UE/associati (regola standard, verificare il topic)</t>
        </is>
      </c>
      <c r="X118" s="2" t="inlineStr">
        <is>
          <t>Stati membri UE e paesi associati (altri paesi secondo le condizioni del topic)</t>
        </is>
      </c>
      <c r="Y118" s="2" t="inlineStr">
        <is>
          <t>Inglese</t>
        </is>
      </c>
      <c r="Z118" s="7" t="inlineStr">
        <is>
          <t>https://ec.europa.eu/info/funding-tenders/opportunities/portal/screen/opportunities/topic-details/HORIZON-HLTH-2027-01-DISEASE-10</t>
        </is>
      </c>
      <c r="AA118" s="3" t="n"/>
      <c r="AB118" s="2" t="inlineStr">
        <is>
          <t>In apertura</t>
        </is>
      </c>
      <c r="AC118" s="5" t="n">
        <v>46312</v>
      </c>
      <c r="AD118" s="5" t="n">
        <v>46312</v>
      </c>
      <c r="AE118" s="2" t="n"/>
    </row>
    <row r="119">
      <c r="A119" s="2" t="inlineStr">
        <is>
          <t>EU-HORIZON-HLTH-2027-01-STAYHLTH-01</t>
        </is>
      </c>
      <c r="B119" s="2" t="inlineStr">
        <is>
          <t>EU Funding &amp; Tenders Portal</t>
        </is>
      </c>
      <c r="C119" s="2" t="inlineStr">
        <is>
          <t>Horizon Europe – HORIZON  Research and Innovation Actions</t>
        </is>
      </c>
      <c r="D119" s="2" t="inlineStr">
        <is>
          <t>Commissione europea</t>
        </is>
      </c>
      <c r="E119" s="3" t="inlineStr">
        <is>
          <t>Addressing disabilities through the life course to support independent living and inclusion</t>
        </is>
      </c>
      <c r="F119" s="3" t="inlineStr">
        <is>
          <t>Addressing disabilities through the life course to support independent living and inclusion</t>
        </is>
      </c>
      <c r="G119" s="2" t="inlineStr">
        <is>
          <t>Invecchiamento, Tecnologie riabilitazione</t>
        </is>
      </c>
      <c r="H119" s="2" t="inlineStr">
        <is>
          <t>older persons, frailty, rehabilitat, disabilit, assistive technolog</t>
        </is>
      </c>
      <c r="I119" s="2" t="inlineStr">
        <is>
          <t>Non analizzato</t>
        </is>
      </c>
      <c r="J119" s="3" t="n"/>
      <c r="K119" s="4" t="n">
        <v>39300000</v>
      </c>
      <c r="L119" s="4" t="n">
        <v>8000000</v>
      </c>
      <c r="M119" s="2" t="inlineStr">
        <is>
          <t>EUR</t>
        </is>
      </c>
      <c r="N119" s="2" t="n">
        <v>5</v>
      </c>
      <c r="O119" s="3" t="inlineStr">
        <is>
          <t>Media – 5 progetti finanziabili (stima: tasso storico non disponibile)</t>
        </is>
      </c>
      <c r="P119" s="3" t="inlineStr">
        <is>
          <t>100% – finanziato per intero</t>
        </is>
      </c>
      <c r="Q119" s="5" t="n">
        <v>46435</v>
      </c>
      <c r="R119" s="6">
        <f>IF(Q119="","",Q119-TODAY())</f>
        <v/>
      </c>
      <c r="S119" s="5" t="n">
        <v>46324</v>
      </c>
      <c r="T119" s="2" t="n"/>
      <c r="U119" s="2" t="inlineStr">
        <is>
          <t>Ricerca</t>
        </is>
      </c>
      <c r="V119" s="3" t="n"/>
      <c r="W119" s="3" t="inlineStr">
        <is>
          <t>Consorzio: min. 3 enti indipendenti da 3 paesi UE/associati (regola standard, verificare il topic)</t>
        </is>
      </c>
      <c r="X119" s="2" t="inlineStr">
        <is>
          <t>Stati membri UE e paesi associati (altri paesi secondo le condizioni del topic)</t>
        </is>
      </c>
      <c r="Y119" s="2" t="inlineStr">
        <is>
          <t>Inglese</t>
        </is>
      </c>
      <c r="Z119" s="7" t="inlineStr">
        <is>
          <t>https://ec.europa.eu/info/funding-tenders/opportunities/portal/screen/opportunities/topic-details/HORIZON-HLTH-2027-01-STAYHLTH-01</t>
        </is>
      </c>
      <c r="AA119" s="3" t="n"/>
      <c r="AB119" s="2" t="inlineStr">
        <is>
          <t>In apertura</t>
        </is>
      </c>
      <c r="AC119" s="5" t="n">
        <v>46312</v>
      </c>
      <c r="AD119" s="5" t="n">
        <v>46312</v>
      </c>
      <c r="AE119" s="2" t="n"/>
    </row>
    <row r="120">
      <c r="A120" s="2" t="inlineStr">
        <is>
          <t>EU-HORIZON-HLTH-2027-02-DISEASE-14-two-stage</t>
        </is>
      </c>
      <c r="B120" s="2" t="inlineStr">
        <is>
          <t>EU Funding &amp; Tenders Portal</t>
        </is>
      </c>
      <c r="C120" s="2" t="inlineStr">
        <is>
          <t>Horizon Europe – HORIZON  Research and Innovation Actions</t>
        </is>
      </c>
      <c r="D120" s="2" t="inlineStr">
        <is>
          <t>Commissione europea</t>
        </is>
      </c>
      <c r="E120" s="3" t="inlineStr">
        <is>
          <t>Clinical trials for advancing innovative interventions for neurodegenerative diseases</t>
        </is>
      </c>
      <c r="F120" s="3" t="inlineStr">
        <is>
          <t>Clinical trials for advancing innovative interventions for neurodegenerative diseases</t>
        </is>
      </c>
      <c r="G120" s="2" t="inlineStr">
        <is>
          <t>Parkinson, Invecchiamento, Tecnologie riabilitazione</t>
        </is>
      </c>
      <c r="H120" s="2" t="inlineStr">
        <is>
          <t>parkinson, dementi, alzheimer, aging, neurodegenerat, rehabilitat, wearable</t>
        </is>
      </c>
      <c r="I120" s="2" t="inlineStr">
        <is>
          <t>Non analizzato</t>
        </is>
      </c>
      <c r="J120" s="3" t="n"/>
      <c r="K120" s="4" t="n">
        <v>39300000</v>
      </c>
      <c r="L120" s="4" t="n">
        <v>10000000</v>
      </c>
      <c r="M120" s="2" t="inlineStr">
        <is>
          <t>EUR</t>
        </is>
      </c>
      <c r="N120" s="2" t="n">
        <v>4</v>
      </c>
      <c r="O120" s="3" t="inlineStr">
        <is>
          <t>Bassa – 4 progetti finanziabili (stima: tasso storico non disponibile)</t>
        </is>
      </c>
      <c r="P120" s="3" t="inlineStr">
        <is>
          <t>100% – finanziato per intero</t>
        </is>
      </c>
      <c r="Q120" s="5" t="n">
        <v>46435</v>
      </c>
      <c r="R120" s="6">
        <f>IF(Q120="","",Q120-TODAY())</f>
        <v/>
      </c>
      <c r="S120" s="5" t="n">
        <v>46324</v>
      </c>
      <c r="T120" s="2" t="n"/>
      <c r="U120" s="2" t="inlineStr">
        <is>
          <t>Ricerca</t>
        </is>
      </c>
      <c r="V120" s="3" t="n"/>
      <c r="W120" s="3" t="inlineStr">
        <is>
          <t>Consorzio: min. 3 enti indipendenti da 3 paesi UE/associati (regola standard, verificare il topic)</t>
        </is>
      </c>
      <c r="X120" s="2" t="inlineStr">
        <is>
          <t>Stati membri UE e paesi associati (altri paesi secondo le condizioni del topic)</t>
        </is>
      </c>
      <c r="Y120" s="2" t="inlineStr">
        <is>
          <t>Inglese</t>
        </is>
      </c>
      <c r="Z120" s="7" t="inlineStr">
        <is>
          <t>https://ec.europa.eu/info/funding-tenders/opportunities/portal/screen/opportunities/topic-details/HORIZON-HLTH-2027-02-DISEASE-14-two-stage</t>
        </is>
      </c>
      <c r="AA120" s="3" t="n"/>
      <c r="AB120" s="2" t="inlineStr">
        <is>
          <t>In apertura</t>
        </is>
      </c>
      <c r="AC120" s="5" t="n">
        <v>46312</v>
      </c>
      <c r="AD120" s="5" t="n">
        <v>46312</v>
      </c>
      <c r="AE120" s="2" t="n"/>
    </row>
    <row r="121">
      <c r="A121" s="2" t="inlineStr">
        <is>
          <t>EU-HORIZON-HLTH-2027-01-DISEASE-07</t>
        </is>
      </c>
      <c r="B121" s="2" t="inlineStr">
        <is>
          <t>EU Funding &amp; Tenders Portal</t>
        </is>
      </c>
      <c r="C121" s="2" t="inlineStr">
        <is>
          <t>Horizon Europe – HORIZON  Research and Innovation Actions</t>
        </is>
      </c>
      <c r="D121" s="2" t="inlineStr">
        <is>
          <t>Commissione europea</t>
        </is>
      </c>
      <c r="E121" s="3" t="inlineStr">
        <is>
          <t>Development of monoclonal antibodies to prevent and treat infections from Filo-, Nairo-, Phenui-, Picorna- and Toga viruses</t>
        </is>
      </c>
      <c r="F121" s="3" t="inlineStr">
        <is>
          <t>Development of monoclonal antibodies to prevent and treat infections from Filo-, Nairo-, Phenui-, Picorna- and Toga viruses</t>
        </is>
      </c>
      <c r="G121" s="2" t="inlineStr">
        <is>
          <t>Riabilitazione</t>
        </is>
      </c>
      <c r="H121" s="2" t="inlineStr">
        <is>
          <t>disabilit</t>
        </is>
      </c>
      <c r="I121" s="2" t="inlineStr">
        <is>
          <t>Non analizzato</t>
        </is>
      </c>
      <c r="J121" s="3" t="n"/>
      <c r="K121" s="4" t="n">
        <v>37300000</v>
      </c>
      <c r="L121" s="4" t="n">
        <v>10000000</v>
      </c>
      <c r="M121" s="2" t="inlineStr">
        <is>
          <t>EUR</t>
        </is>
      </c>
      <c r="N121" s="2" t="n">
        <v>4</v>
      </c>
      <c r="O121" s="3" t="inlineStr">
        <is>
          <t>Bassa – 4 progetti finanziabili (stima: tasso storico non disponibile)</t>
        </is>
      </c>
      <c r="P121" s="3" t="inlineStr">
        <is>
          <t>100% – finanziato per intero</t>
        </is>
      </c>
      <c r="Q121" s="5" t="n">
        <v>46435</v>
      </c>
      <c r="R121" s="6">
        <f>IF(Q121="","",Q121-TODAY())</f>
        <v/>
      </c>
      <c r="S121" s="5" t="n">
        <v>46324</v>
      </c>
      <c r="T121" s="2" t="n"/>
      <c r="U121" s="2" t="inlineStr">
        <is>
          <t>Ricerca</t>
        </is>
      </c>
      <c r="V121" s="3" t="n"/>
      <c r="W121" s="3" t="inlineStr">
        <is>
          <t>Consorzio: min. 3 enti indipendenti da 3 paesi UE/associati (regola standard, verificare il topic)</t>
        </is>
      </c>
      <c r="X121" s="2" t="inlineStr">
        <is>
          <t>Stati membri UE e paesi associati (altri paesi secondo le condizioni del topic)</t>
        </is>
      </c>
      <c r="Y121" s="2" t="inlineStr">
        <is>
          <t>Inglese</t>
        </is>
      </c>
      <c r="Z121" s="7" t="inlineStr">
        <is>
          <t>https://ec.europa.eu/info/funding-tenders/opportunities/portal/screen/opportunities/topic-details/HORIZON-HLTH-2027-01-DISEASE-07</t>
        </is>
      </c>
      <c r="AA121" s="3" t="n"/>
      <c r="AB121" s="2" t="inlineStr">
        <is>
          <t>In apertura</t>
        </is>
      </c>
      <c r="AC121" s="5" t="n">
        <v>46312</v>
      </c>
      <c r="AD121" s="5" t="n">
        <v>46312</v>
      </c>
      <c r="AE121" s="2" t="n"/>
    </row>
    <row r="122">
      <c r="A122" s="2" t="inlineStr">
        <is>
          <t>EU-HORIZON-HLTH-2027-01-CARE-02</t>
        </is>
      </c>
      <c r="B122" s="2" t="inlineStr">
        <is>
          <t>EU Funding &amp; Tenders Portal</t>
        </is>
      </c>
      <c r="C122" s="2" t="inlineStr">
        <is>
          <t>Horizon Europe – HORIZON  Research and Innovation Actions</t>
        </is>
      </c>
      <c r="D122" s="2" t="inlineStr">
        <is>
          <t>Commissione europea</t>
        </is>
      </c>
      <c r="E122" s="3" t="inlineStr">
        <is>
          <t>Personalised approaches to reduce risks from Adverse Drug Reactions due to administration of multiple medications</t>
        </is>
      </c>
      <c r="F122" s="3" t="inlineStr">
        <is>
          <t>Personalised approaches to reduce risks from Adverse Drug Reactions due to administration of multiple medications</t>
        </is>
      </c>
      <c r="G122" s="2" t="inlineStr">
        <is>
          <t>Invecchiamento</t>
        </is>
      </c>
      <c r="H122" s="2" t="inlineStr">
        <is>
          <t>older population, ageing</t>
        </is>
      </c>
      <c r="I122" s="2" t="inlineStr">
        <is>
          <t>Non analizzato</t>
        </is>
      </c>
      <c r="J122" s="3" t="n"/>
      <c r="K122" s="4" t="n">
        <v>38000000</v>
      </c>
      <c r="L122" s="4" t="n">
        <v>10000000</v>
      </c>
      <c r="M122" s="2" t="inlineStr">
        <is>
          <t>EUR</t>
        </is>
      </c>
      <c r="N122" s="2" t="n">
        <v>4</v>
      </c>
      <c r="O122" s="3" t="inlineStr">
        <is>
          <t>Bassa – 4 progetti finanziabili (stima: tasso storico non disponibile)</t>
        </is>
      </c>
      <c r="P122" s="3" t="inlineStr">
        <is>
          <t>100% – finanziato per intero</t>
        </is>
      </c>
      <c r="Q122" s="5" t="n">
        <v>46435</v>
      </c>
      <c r="R122" s="6">
        <f>IF(Q122="","",Q122-TODAY())</f>
        <v/>
      </c>
      <c r="S122" s="5" t="n">
        <v>46324</v>
      </c>
      <c r="T122" s="2" t="n"/>
      <c r="U122" s="2" t="inlineStr">
        <is>
          <t>Ricerca</t>
        </is>
      </c>
      <c r="V122" s="3" t="n"/>
      <c r="W122" s="3" t="inlineStr">
        <is>
          <t>Consorzio: min. 3 enti indipendenti da 3 paesi UE/associati (regola standard, verificare il topic)</t>
        </is>
      </c>
      <c r="X122" s="2" t="inlineStr">
        <is>
          <t>Stati membri UE e paesi associati (altri paesi secondo le condizioni del topic)</t>
        </is>
      </c>
      <c r="Y122" s="2" t="inlineStr">
        <is>
          <t>Inglese</t>
        </is>
      </c>
      <c r="Z122" s="7" t="inlineStr">
        <is>
          <t>https://ec.europa.eu/info/funding-tenders/opportunities/portal/screen/opportunities/topic-details/HORIZON-HLTH-2027-01-CARE-02</t>
        </is>
      </c>
      <c r="AA122" s="3" t="n"/>
      <c r="AB122" s="2" t="inlineStr">
        <is>
          <t>In apertura</t>
        </is>
      </c>
      <c r="AC122" s="5" t="n">
        <v>46312</v>
      </c>
      <c r="AD122" s="5" t="n">
        <v>46312</v>
      </c>
      <c r="AE122" s="2" t="n"/>
    </row>
    <row r="123">
      <c r="A123" s="2" t="inlineStr">
        <is>
          <t>EU-HORIZON-HLTH-2027-01-DISEASE-05</t>
        </is>
      </c>
      <c r="B123" s="2" t="inlineStr">
        <is>
          <t>EU Funding &amp; Tenders Portal</t>
        </is>
      </c>
      <c r="C123" s="2" t="inlineStr">
        <is>
          <t>Horizon Europe – HORIZON  Research and Innovation Actions</t>
        </is>
      </c>
      <c r="D123" s="2" t="inlineStr">
        <is>
          <t>Commissione europea</t>
        </is>
      </c>
      <c r="E123" s="3" t="inlineStr">
        <is>
          <t>Development of novel small molecule antiviral therapeutics for pathogens with epidemic potential</t>
        </is>
      </c>
      <c r="F123" s="3" t="inlineStr">
        <is>
          <t>Development of novel small molecule antiviral therapeutics for pathogens with epidemic potential</t>
        </is>
      </c>
      <c r="G123" s="2" t="inlineStr">
        <is>
          <t>Riabilitazione</t>
        </is>
      </c>
      <c r="H123" s="2" t="inlineStr">
        <is>
          <t>disabilit</t>
        </is>
      </c>
      <c r="I123" s="2" t="inlineStr">
        <is>
          <t>Non analizzato</t>
        </is>
      </c>
      <c r="J123" s="3" t="n"/>
      <c r="K123" s="4" t="n">
        <v>44200000</v>
      </c>
      <c r="L123" s="4" t="n">
        <v>11000000</v>
      </c>
      <c r="M123" s="2" t="inlineStr">
        <is>
          <t>EUR</t>
        </is>
      </c>
      <c r="N123" s="2" t="n">
        <v>5</v>
      </c>
      <c r="O123" s="3" t="inlineStr">
        <is>
          <t>Media – 5 progetti finanziabili (stima: tasso storico non disponibile)</t>
        </is>
      </c>
      <c r="P123" s="3" t="inlineStr">
        <is>
          <t>100% – finanziato per intero</t>
        </is>
      </c>
      <c r="Q123" s="5" t="n">
        <v>46435</v>
      </c>
      <c r="R123" s="6">
        <f>IF(Q123="","",Q123-TODAY())</f>
        <v/>
      </c>
      <c r="S123" s="5" t="n">
        <v>46324</v>
      </c>
      <c r="T123" s="2" t="n"/>
      <c r="U123" s="2" t="inlineStr">
        <is>
          <t>Ricerca</t>
        </is>
      </c>
      <c r="V123" s="3" t="n"/>
      <c r="W123" s="3" t="inlineStr">
        <is>
          <t>Consorzio: min. 3 enti indipendenti da 3 paesi UE/associati (regola standard, verificare il topic)</t>
        </is>
      </c>
      <c r="X123" s="2" t="inlineStr">
        <is>
          <t>Stati membri UE e paesi associati (altri paesi secondo le condizioni del topic)</t>
        </is>
      </c>
      <c r="Y123" s="2" t="inlineStr">
        <is>
          <t>Inglese</t>
        </is>
      </c>
      <c r="Z123" s="7" t="inlineStr">
        <is>
          <t>https://ec.europa.eu/info/funding-tenders/opportunities/portal/screen/opportunities/topic-details/HORIZON-HLTH-2027-01-DISEASE-05</t>
        </is>
      </c>
      <c r="AA123" s="3" t="n"/>
      <c r="AB123" s="2" t="inlineStr">
        <is>
          <t>In apertura</t>
        </is>
      </c>
      <c r="AC123" s="5" t="n">
        <v>46312</v>
      </c>
      <c r="AD123" s="5" t="n">
        <v>46312</v>
      </c>
      <c r="AE123" s="2" t="n"/>
    </row>
    <row r="124">
      <c r="A124" s="2" t="inlineStr">
        <is>
          <t>EU-HORIZON-HLTH-2027-01-DISEASE-06</t>
        </is>
      </c>
      <c r="B124" s="2" t="inlineStr">
        <is>
          <t>EU Funding &amp; Tenders Portal</t>
        </is>
      </c>
      <c r="C124" s="2" t="inlineStr">
        <is>
          <t>Horizon Europe – HORIZON  Research and Innovation Actions</t>
        </is>
      </c>
      <c r="D124" s="2" t="inlineStr">
        <is>
          <t>Commissione europea</t>
        </is>
      </c>
      <c r="E124" s="3" t="inlineStr">
        <is>
          <t>Development of monoclonal antibodies to prevent and treat infections from Flaviviruses</t>
        </is>
      </c>
      <c r="F124" s="3" t="inlineStr">
        <is>
          <t>Development of monoclonal antibodies to prevent and treat infections from Flaviviruses</t>
        </is>
      </c>
      <c r="G124" s="2" t="inlineStr">
        <is>
          <t>Riabilitazione</t>
        </is>
      </c>
      <c r="H124" s="2" t="inlineStr">
        <is>
          <t>disabilit</t>
        </is>
      </c>
      <c r="I124" s="2" t="inlineStr">
        <is>
          <t>Non analizzato</t>
        </is>
      </c>
      <c r="J124" s="3" t="n"/>
      <c r="K124" s="4" t="n">
        <v>37300000</v>
      </c>
      <c r="L124" s="4" t="n">
        <v>10000000</v>
      </c>
      <c r="M124" s="2" t="inlineStr">
        <is>
          <t>EUR</t>
        </is>
      </c>
      <c r="N124" s="2" t="n">
        <v>4</v>
      </c>
      <c r="O124" s="3" t="inlineStr">
        <is>
          <t>Bassa – 4 progetti finanziabili (stima: tasso storico non disponibile)</t>
        </is>
      </c>
      <c r="P124" s="3" t="inlineStr">
        <is>
          <t>100% – finanziato per intero</t>
        </is>
      </c>
      <c r="Q124" s="5" t="n">
        <v>46435</v>
      </c>
      <c r="R124" s="6">
        <f>IF(Q124="","",Q124-TODAY())</f>
        <v/>
      </c>
      <c r="S124" s="5" t="n">
        <v>46324</v>
      </c>
      <c r="T124" s="2" t="n"/>
      <c r="U124" s="2" t="inlineStr">
        <is>
          <t>Ricerca</t>
        </is>
      </c>
      <c r="V124" s="3" t="n"/>
      <c r="W124" s="3" t="inlineStr">
        <is>
          <t>Consorzio: min. 3 enti indipendenti da 3 paesi UE/associati (regola standard, verificare il topic)</t>
        </is>
      </c>
      <c r="X124" s="2" t="inlineStr">
        <is>
          <t>Stati membri UE e paesi associati (altri paesi secondo le condizioni del topic)</t>
        </is>
      </c>
      <c r="Y124" s="2" t="inlineStr">
        <is>
          <t>Inglese</t>
        </is>
      </c>
      <c r="Z124" s="7" t="inlineStr">
        <is>
          <t>https://ec.europa.eu/info/funding-tenders/opportunities/portal/screen/opportunities/topic-details/HORIZON-HLTH-2027-01-DISEASE-06</t>
        </is>
      </c>
      <c r="AA124" s="3" t="n"/>
      <c r="AB124" s="2" t="inlineStr">
        <is>
          <t>In apertura</t>
        </is>
      </c>
      <c r="AC124" s="5" t="n">
        <v>46312</v>
      </c>
      <c r="AD124" s="5" t="n">
        <v>46312</v>
      </c>
      <c r="AE124" s="2" t="n"/>
    </row>
    <row r="125">
      <c r="A125" s="2" t="inlineStr">
        <is>
          <t>EU-HORIZON-HLTH-2027-01-DISEASE-08</t>
        </is>
      </c>
      <c r="B125" s="2" t="inlineStr">
        <is>
          <t>EU Funding &amp; Tenders Portal</t>
        </is>
      </c>
      <c r="C125" s="2" t="inlineStr">
        <is>
          <t>Horizon Europe – HORIZON  Research and Innovation Actions</t>
        </is>
      </c>
      <c r="D125" s="2" t="inlineStr">
        <is>
          <t>Commissione europea</t>
        </is>
      </c>
      <c r="E125" s="3" t="inlineStr">
        <is>
          <t>Development of innovative antimicrobials against pathogens resistant to antimicrobials</t>
        </is>
      </c>
      <c r="F125" s="3" t="inlineStr">
        <is>
          <t>Development of innovative antimicrobials against pathogens resistant to antimicrobials</t>
        </is>
      </c>
      <c r="G125" s="2" t="inlineStr">
        <is>
          <t>Riabilitazione</t>
        </is>
      </c>
      <c r="H125" s="2" t="inlineStr">
        <is>
          <t>disabilit</t>
        </is>
      </c>
      <c r="I125" s="2" t="inlineStr">
        <is>
          <t>Non analizzato</t>
        </is>
      </c>
      <c r="J125" s="3" t="n"/>
      <c r="K125" s="4" t="n">
        <v>44200000</v>
      </c>
      <c r="L125" s="4" t="n">
        <v>10000000</v>
      </c>
      <c r="M125" s="2" t="inlineStr">
        <is>
          <t>EUR</t>
        </is>
      </c>
      <c r="N125" s="2" t="n">
        <v>5</v>
      </c>
      <c r="O125" s="3" t="inlineStr">
        <is>
          <t>Media – 5 progetti finanziabili (stima: tasso storico non disponibile)</t>
        </is>
      </c>
      <c r="P125" s="3" t="inlineStr">
        <is>
          <t>100% – finanziato per intero</t>
        </is>
      </c>
      <c r="Q125" s="5" t="n">
        <v>46435</v>
      </c>
      <c r="R125" s="6">
        <f>IF(Q125="","",Q125-TODAY())</f>
        <v/>
      </c>
      <c r="S125" s="5" t="n">
        <v>46324</v>
      </c>
      <c r="T125" s="2" t="n"/>
      <c r="U125" s="2" t="inlineStr">
        <is>
          <t>Ricerca</t>
        </is>
      </c>
      <c r="V125" s="3" t="n"/>
      <c r="W125" s="3" t="inlineStr">
        <is>
          <t>Consorzio: min. 3 enti indipendenti da 3 paesi UE/associati (regola standard, verificare il topic)</t>
        </is>
      </c>
      <c r="X125" s="2" t="inlineStr">
        <is>
          <t>Stati membri UE e paesi associati (altri paesi secondo le condizioni del topic)</t>
        </is>
      </c>
      <c r="Y125" s="2" t="inlineStr">
        <is>
          <t>Inglese</t>
        </is>
      </c>
      <c r="Z125" s="7" t="inlineStr">
        <is>
          <t>https://ec.europa.eu/info/funding-tenders/opportunities/portal/screen/opportunities/topic-details/HORIZON-HLTH-2027-01-DISEASE-08</t>
        </is>
      </c>
      <c r="AA125" s="3" t="n"/>
      <c r="AB125" s="2" t="inlineStr">
        <is>
          <t>In apertura</t>
        </is>
      </c>
      <c r="AC125" s="5" t="n">
        <v>46312</v>
      </c>
      <c r="AD125" s="5" t="n">
        <v>46312</v>
      </c>
      <c r="AE125" s="2" t="n"/>
    </row>
    <row r="126">
      <c r="A126" s="2" t="inlineStr">
        <is>
          <t>EU-HORIZON-HLTH-2027-02-DISEASE-01-two-stage</t>
        </is>
      </c>
      <c r="B126" s="2" t="inlineStr">
        <is>
          <t>EU Funding &amp; Tenders Portal</t>
        </is>
      </c>
      <c r="C126" s="2" t="inlineStr">
        <is>
          <t>Horizon Europe – HORIZON  Research and Innovation Actions</t>
        </is>
      </c>
      <c r="D126" s="2" t="inlineStr">
        <is>
          <t>Commissione europea</t>
        </is>
      </c>
      <c r="E126" s="3" t="inlineStr">
        <is>
          <t>Innovative healthcare interventions for non-communicable diseases</t>
        </is>
      </c>
      <c r="F126" s="3" t="inlineStr">
        <is>
          <t>Innovative healthcare interventions for non-communicable diseases</t>
        </is>
      </c>
      <c r="G126" s="2" t="inlineStr">
        <is>
          <t>Tecnologie riabilitazione</t>
        </is>
      </c>
      <c r="H126" s="2" t="inlineStr">
        <is>
          <t>disabilit, wearable</t>
        </is>
      </c>
      <c r="I126" s="2" t="inlineStr">
        <is>
          <t>Non analizzato</t>
        </is>
      </c>
      <c r="J126" s="3" t="n"/>
      <c r="K126" s="4" t="n">
        <v>63800000</v>
      </c>
      <c r="L126" s="4" t="n">
        <v>8000000</v>
      </c>
      <c r="M126" s="2" t="inlineStr">
        <is>
          <t>EUR</t>
        </is>
      </c>
      <c r="N126" s="2" t="n">
        <v>8</v>
      </c>
      <c r="O126" s="3" t="inlineStr">
        <is>
          <t>Media – 8 progetti finanziabili (stima: tasso storico non disponibile)</t>
        </is>
      </c>
      <c r="P126" s="3" t="inlineStr">
        <is>
          <t>100% – finanziato per intero</t>
        </is>
      </c>
      <c r="Q126" s="5" t="n">
        <v>46435</v>
      </c>
      <c r="R126" s="6">
        <f>IF(Q126="","",Q126-TODAY())</f>
        <v/>
      </c>
      <c r="S126" s="5" t="n">
        <v>46324</v>
      </c>
      <c r="T126" s="2" t="n"/>
      <c r="U126" s="2" t="inlineStr">
        <is>
          <t>Ricerca</t>
        </is>
      </c>
      <c r="V126" s="3" t="n"/>
      <c r="W126" s="3" t="inlineStr">
        <is>
          <t>Consorzio: min. 3 enti indipendenti da 3 paesi UE/associati (regola standard, verificare il topic)</t>
        </is>
      </c>
      <c r="X126" s="2" t="inlineStr">
        <is>
          <t>Stati membri UE e paesi associati (altri paesi secondo le condizioni del topic)</t>
        </is>
      </c>
      <c r="Y126" s="2" t="inlineStr">
        <is>
          <t>Inglese</t>
        </is>
      </c>
      <c r="Z126" s="7" t="inlineStr">
        <is>
          <t>https://ec.europa.eu/info/funding-tenders/opportunities/portal/screen/opportunities/topic-details/HORIZON-HLTH-2027-02-DISEASE-01-two-stage</t>
        </is>
      </c>
      <c r="AA126" s="3" t="n"/>
      <c r="AB126" s="2" t="inlineStr">
        <is>
          <t>In apertura</t>
        </is>
      </c>
      <c r="AC126" s="5" t="n">
        <v>46312</v>
      </c>
      <c r="AD126" s="5" t="n">
        <v>46312</v>
      </c>
      <c r="AE126" s="2" t="n"/>
    </row>
    <row r="127">
      <c r="A127" s="2" t="inlineStr">
        <is>
          <t>EU-HORIZON-CL4-2027-04-DIGITAL-EMERGING-04</t>
        </is>
      </c>
      <c r="B127" s="2" t="inlineStr">
        <is>
          <t>EU Funding &amp; Tenders Portal</t>
        </is>
      </c>
      <c r="C127" s="2" t="inlineStr">
        <is>
          <t>Horizon Europe – HORIZON  Research and Innovation Actions</t>
        </is>
      </c>
      <c r="D127" s="2" t="inlineStr">
        <is>
          <t>Commissione europea</t>
        </is>
      </c>
      <c r="E127" s="3" t="inlineStr">
        <is>
          <t>Apply AI: Challenge-Driven AI Innovation Booster in Apply AI prioritised sectors (RIA) (Partnership in AI, Data and Robotics)</t>
        </is>
      </c>
      <c r="F127" s="3" t="inlineStr">
        <is>
          <t>Apply AI: Challenge-Driven AI Innovation Booster in Apply AI prioritised sectors (RIA) (Partnership in AI, Data and Robotics)</t>
        </is>
      </c>
      <c r="G127" s="2" t="inlineStr">
        <is>
          <t>Tecnologie riabilitazione</t>
        </is>
      </c>
      <c r="H127" s="2" t="inlineStr">
        <is>
          <t>robot</t>
        </is>
      </c>
      <c r="I127" s="2" t="inlineStr">
        <is>
          <t>Non analizzato</t>
        </is>
      </c>
      <c r="J127" s="3" t="n"/>
      <c r="K127" s="4" t="n">
        <v>42000000</v>
      </c>
      <c r="L127" s="4" t="n">
        <v>14000000</v>
      </c>
      <c r="M127" s="2" t="inlineStr">
        <is>
          <t>EUR</t>
        </is>
      </c>
      <c r="N127" s="2" t="n">
        <v>3</v>
      </c>
      <c r="O127" s="3" t="inlineStr">
        <is>
          <t>Bassa – 3 progetti finanziabili (stima: tasso storico non disponibile)</t>
        </is>
      </c>
      <c r="P127" s="3" t="inlineStr">
        <is>
          <t>100% – finanziato per intero</t>
        </is>
      </c>
      <c r="Q127" s="5" t="n">
        <v>46464</v>
      </c>
      <c r="R127" s="6">
        <f>IF(Q127="","",Q127-TODAY())</f>
        <v/>
      </c>
      <c r="S127" s="5" t="n">
        <v>46343</v>
      </c>
      <c r="T127" s="2" t="n"/>
      <c r="U127" s="2" t="inlineStr">
        <is>
          <t>Ricerca</t>
        </is>
      </c>
      <c r="V127" s="3" t="n"/>
      <c r="W127" s="3" t="inlineStr">
        <is>
          <t>Consorzio: min. 3 enti indipendenti da 3 paesi UE/associati (regola standard, verificare il topic)</t>
        </is>
      </c>
      <c r="X127" s="2" t="inlineStr">
        <is>
          <t>Stati membri UE e paesi associati (altri paesi secondo le condizioni del topic)</t>
        </is>
      </c>
      <c r="Y127" s="2" t="inlineStr">
        <is>
          <t>Inglese</t>
        </is>
      </c>
      <c r="Z127" s="7" t="inlineStr">
        <is>
          <t>https://ec.europa.eu/info/funding-tenders/opportunities/portal/screen/opportunities/topic-details/HORIZON-CL4-2027-04-DIGITAL-EMERGING-04</t>
        </is>
      </c>
      <c r="AA127" s="3" t="n"/>
      <c r="AB127" s="2" t="inlineStr">
        <is>
          <t>In apertura</t>
        </is>
      </c>
      <c r="AC127" s="5" t="n">
        <v>46312</v>
      </c>
      <c r="AD127" s="5" t="n">
        <v>46312</v>
      </c>
      <c r="AE127" s="2" t="n"/>
    </row>
    <row r="128">
      <c r="A128" s="2" t="inlineStr">
        <is>
          <t>EU-HORIZON-CL4-2027-04-HUMAN-01</t>
        </is>
      </c>
      <c r="B128" s="2" t="inlineStr">
        <is>
          <t>EU Funding &amp; Tenders Portal</t>
        </is>
      </c>
      <c r="C128" s="2" t="inlineStr">
        <is>
          <t>Horizon Europe – HORIZON  Research and Innovation Actions</t>
        </is>
      </c>
      <c r="D128" s="2" t="inlineStr">
        <is>
          <t>Commissione europea</t>
        </is>
      </c>
      <c r="E128" s="3" t="inlineStr">
        <is>
          <t>Advanced and Innovative hardware components for Virtual Worlds (RIA) (Virtual Worlds Partnership)</t>
        </is>
      </c>
      <c r="F128" s="3" t="inlineStr">
        <is>
          <t>Advanced and Innovative hardware components for Virtual Worlds (RIA) (Virtual Worlds Partnership)</t>
        </is>
      </c>
      <c r="G128" s="2" t="inlineStr">
        <is>
          <t>Tecnologie riabilitazione</t>
        </is>
      </c>
      <c r="H128" s="2" t="inlineStr">
        <is>
          <t>brain computer interface, wearable</t>
        </is>
      </c>
      <c r="I128" s="2" t="inlineStr">
        <is>
          <t>Non analizzato</t>
        </is>
      </c>
      <c r="J128" s="3" t="n"/>
      <c r="K128" s="4" t="n">
        <v>39000000</v>
      </c>
      <c r="L128" s="4" t="n">
        <v>5600000</v>
      </c>
      <c r="M128" s="2" t="inlineStr">
        <is>
          <t>EUR</t>
        </is>
      </c>
      <c r="N128" s="2" t="n">
        <v>8</v>
      </c>
      <c r="O128" s="3" t="inlineStr">
        <is>
          <t>Media – 8 progetti finanziabili (stima: tasso storico non disponibile)</t>
        </is>
      </c>
      <c r="P128" s="3" t="inlineStr">
        <is>
          <t>100% – finanziato per intero</t>
        </is>
      </c>
      <c r="Q128" s="5" t="n">
        <v>46464</v>
      </c>
      <c r="R128" s="6">
        <f>IF(Q128="","",Q128-TODAY())</f>
        <v/>
      </c>
      <c r="S128" s="5" t="n">
        <v>46343</v>
      </c>
      <c r="T128" s="2" t="n"/>
      <c r="U128" s="2" t="inlineStr">
        <is>
          <t>Ricerca</t>
        </is>
      </c>
      <c r="V128" s="3" t="n"/>
      <c r="W128" s="3" t="inlineStr">
        <is>
          <t>Consorzio: min. 3 enti indipendenti da 3 paesi UE/associati (regola standard, verificare il topic)</t>
        </is>
      </c>
      <c r="X128" s="2" t="inlineStr">
        <is>
          <t>Stati membri UE e paesi associati (altri paesi secondo le condizioni del topic)</t>
        </is>
      </c>
      <c r="Y128" s="2" t="inlineStr">
        <is>
          <t>Inglese</t>
        </is>
      </c>
      <c r="Z128" s="7" t="inlineStr">
        <is>
          <t>https://ec.europa.eu/info/funding-tenders/opportunities/portal/screen/opportunities/topic-details/HORIZON-CL4-2027-04-HUMAN-01</t>
        </is>
      </c>
      <c r="AA128" s="3" t="n"/>
      <c r="AB128" s="2" t="inlineStr">
        <is>
          <t>In apertura</t>
        </is>
      </c>
      <c r="AC128" s="5" t="n">
        <v>46312</v>
      </c>
      <c r="AD128" s="5" t="n">
        <v>46312</v>
      </c>
      <c r="AE128" s="2" t="n"/>
    </row>
    <row r="129">
      <c r="A129" s="2" t="inlineStr">
        <is>
          <t>EU-HORIZON-CL6-2027-02-CLIMATE-01-two-stage</t>
        </is>
      </c>
      <c r="B129" s="2" t="inlineStr">
        <is>
          <t>EU Funding &amp; Tenders Portal</t>
        </is>
      </c>
      <c r="C129" s="2" t="inlineStr">
        <is>
          <t>Horizon Europe – HORIZON Innovation Actions</t>
        </is>
      </c>
      <c r="D129" s="2" t="inlineStr">
        <is>
          <t>Commissione europea</t>
        </is>
      </c>
      <c r="E129" s="3" t="inlineStr">
        <is>
          <t>Open topic: Innovative solutions for the European Water Resilience Strategy</t>
        </is>
      </c>
      <c r="F129" s="3" t="inlineStr">
        <is>
          <t>Open topic: Innovative solutions for the European Water Resilience Strategy</t>
        </is>
      </c>
      <c r="G129" s="2" t="inlineStr">
        <is>
          <t>Riabilitazione</t>
        </is>
      </c>
      <c r="H129" s="2" t="inlineStr">
        <is>
          <t>persons with disabilities</t>
        </is>
      </c>
      <c r="I129" s="2" t="inlineStr">
        <is>
          <t>Non analizzato</t>
        </is>
      </c>
      <c r="J129" s="3" t="n"/>
      <c r="K129" s="4" t="n">
        <v>11000000</v>
      </c>
      <c r="L129" s="4" t="n">
        <v>5500000</v>
      </c>
      <c r="M129" s="2" t="inlineStr">
        <is>
          <t>EUR</t>
        </is>
      </c>
      <c r="N129" s="2" t="n">
        <v>2</v>
      </c>
      <c r="O129" s="3" t="inlineStr">
        <is>
          <t>Bassa – 2 progetti finanziabili (stima: tasso storico non disponibile)</t>
        </is>
      </c>
      <c r="P129" s="3" t="inlineStr">
        <is>
          <t>70% per le imprese, 100% per gli enti non profit</t>
        </is>
      </c>
      <c r="Q129" s="5" t="n">
        <v>46485</v>
      </c>
      <c r="R129" s="6">
        <f>IF(Q129="","",Q129-TODAY())</f>
        <v/>
      </c>
      <c r="S129" s="5" t="n">
        <v>46422</v>
      </c>
      <c r="T129" s="2" t="n"/>
      <c r="U129" s="2" t="inlineStr">
        <is>
          <t>Innovazione</t>
        </is>
      </c>
      <c r="V129" s="3" t="n"/>
      <c r="W129" s="3" t="inlineStr">
        <is>
          <t>Consorzio: min. 3 enti indipendenti da 3 paesi UE/associati (regola standard, verificare il topic)</t>
        </is>
      </c>
      <c r="X129" s="2" t="inlineStr">
        <is>
          <t>Stati membri UE e paesi associati (altri paesi secondo le condizioni del topic)</t>
        </is>
      </c>
      <c r="Y129" s="2" t="inlineStr">
        <is>
          <t>Inglese</t>
        </is>
      </c>
      <c r="Z129" s="7" t="inlineStr">
        <is>
          <t>https://ec.europa.eu/info/funding-tenders/opportunities/portal/screen/opportunities/topic-details/HORIZON-CL6-2027-02-CLIMATE-01-two-stage</t>
        </is>
      </c>
      <c r="AA129" s="3" t="n"/>
      <c r="AB129" s="2" t="inlineStr">
        <is>
          <t>In apertura</t>
        </is>
      </c>
      <c r="AC129" s="5" t="n">
        <v>46312</v>
      </c>
      <c r="AD129" s="5" t="n">
        <v>46312</v>
      </c>
      <c r="AE129" s="2" t="n"/>
    </row>
    <row r="130">
      <c r="A130" s="2" t="inlineStr">
        <is>
          <t>EU-HORIZON-MISS-2027-05-SOIL-05-two-stage</t>
        </is>
      </c>
      <c r="B130" s="2" t="inlineStr">
        <is>
          <t>EU Funding &amp; Tenders Portal</t>
        </is>
      </c>
      <c r="C130" s="2" t="inlineStr">
        <is>
          <t>Horizon Europe – HORIZON Innovation Actions</t>
        </is>
      </c>
      <c r="D130" s="2" t="inlineStr">
        <is>
          <t>Commissione europea</t>
        </is>
      </c>
      <c r="E130" s="3" t="inlineStr">
        <is>
          <t>Innovative biotechnologies to restore soil health and improve agricultural competitiveness and resilience</t>
        </is>
      </c>
      <c r="F130" s="3" t="inlineStr">
        <is>
          <t>Innovative biotechnologies to restore soil health and improve agricultural competitiveness and resilience</t>
        </is>
      </c>
      <c r="G130" s="2" t="inlineStr">
        <is>
          <t>Riabilitazione</t>
        </is>
      </c>
      <c r="H130" s="2" t="inlineStr">
        <is>
          <t>rehabilitat</t>
        </is>
      </c>
      <c r="I130" s="2" t="inlineStr">
        <is>
          <t>Non analizzato</t>
        </is>
      </c>
      <c r="J130" s="3" t="n"/>
      <c r="K130" s="4" t="n">
        <v>12800000</v>
      </c>
      <c r="L130" s="4" t="n">
        <v>6400000</v>
      </c>
      <c r="M130" s="2" t="inlineStr">
        <is>
          <t>EUR</t>
        </is>
      </c>
      <c r="N130" s="2" t="n">
        <v>2</v>
      </c>
      <c r="O130" s="3" t="inlineStr">
        <is>
          <t>Bassa – 2 progetti finanziabili (stima: tasso storico non disponibile)</t>
        </is>
      </c>
      <c r="P130" s="3" t="inlineStr">
        <is>
          <t>70% per le imprese, 100% per gli enti non profit</t>
        </is>
      </c>
      <c r="Q130" s="5" t="n">
        <v>46485</v>
      </c>
      <c r="R130" s="6">
        <f>IF(Q130="","",Q130-TODAY())</f>
        <v/>
      </c>
      <c r="S130" s="5" t="n">
        <v>46422</v>
      </c>
      <c r="T130" s="2" t="n"/>
      <c r="U130" s="2" t="inlineStr">
        <is>
          <t>Innovazione</t>
        </is>
      </c>
      <c r="V130" s="3" t="n"/>
      <c r="W130" s="3" t="inlineStr">
        <is>
          <t>Consorzio: min. 3 enti indipendenti da 3 paesi UE/associati (regola standard, verificare il topic)</t>
        </is>
      </c>
      <c r="X130" s="2" t="inlineStr">
        <is>
          <t>Stati membri UE e paesi associati (altri paesi secondo le condizioni del topic)</t>
        </is>
      </c>
      <c r="Y130" s="2" t="inlineStr">
        <is>
          <t>Inglese</t>
        </is>
      </c>
      <c r="Z130" s="7" t="inlineStr">
        <is>
          <t>https://ec.europa.eu/info/funding-tenders/opportunities/portal/screen/opportunities/topic-details/HORIZON-MISS-2027-05-SOIL-05-two-stage</t>
        </is>
      </c>
      <c r="AA130" s="3" t="n"/>
      <c r="AB130" s="2" t="inlineStr">
        <is>
          <t>In apertura</t>
        </is>
      </c>
      <c r="AC130" s="5" t="n">
        <v>46312</v>
      </c>
      <c r="AD130" s="5" t="n">
        <v>46312</v>
      </c>
      <c r="AE130" s="2" t="n"/>
    </row>
    <row r="131">
      <c r="A131" s="2" t="inlineStr">
        <is>
          <t>EU-HORIZON-MISS-2027-05-SOIL-04-two-stage</t>
        </is>
      </c>
      <c r="B131" s="2" t="inlineStr">
        <is>
          <t>EU Funding &amp; Tenders Portal</t>
        </is>
      </c>
      <c r="C131" s="2" t="inlineStr">
        <is>
          <t>Horizon Europe – HORIZON  Research and Innovation Actions</t>
        </is>
      </c>
      <c r="D131" s="2" t="inlineStr">
        <is>
          <t>Commissione europea</t>
        </is>
      </c>
      <c r="E131" s="3" t="inlineStr">
        <is>
          <t>Participatory research on the health of communities in contact with polluted soils</t>
        </is>
      </c>
      <c r="F131" s="3" t="inlineStr">
        <is>
          <t>Participatory research on the health of communities in contact with polluted soils</t>
        </is>
      </c>
      <c r="G131" s="2" t="inlineStr">
        <is>
          <t>Invecchiamento</t>
        </is>
      </c>
      <c r="H131" s="2" t="inlineStr">
        <is>
          <t>longevit</t>
        </is>
      </c>
      <c r="I131" s="2" t="inlineStr">
        <is>
          <t>Non analizzato</t>
        </is>
      </c>
      <c r="J131" s="3" t="n"/>
      <c r="K131" s="4" t="n">
        <v>11000000</v>
      </c>
      <c r="L131" s="4" t="n">
        <v>5500000</v>
      </c>
      <c r="M131" s="2" t="inlineStr">
        <is>
          <t>EUR</t>
        </is>
      </c>
      <c r="N131" s="2" t="n">
        <v>2</v>
      </c>
      <c r="O131" s="3" t="inlineStr">
        <is>
          <t>Bassa – 2 progetti finanziabili (stima: tasso storico non disponibile)</t>
        </is>
      </c>
      <c r="P131" s="3" t="inlineStr">
        <is>
          <t>100% – finanziato per intero</t>
        </is>
      </c>
      <c r="Q131" s="5" t="n">
        <v>46485</v>
      </c>
      <c r="R131" s="6">
        <f>IF(Q131="","",Q131-TODAY())</f>
        <v/>
      </c>
      <c r="S131" s="5" t="n">
        <v>46422</v>
      </c>
      <c r="T131" s="2" t="n"/>
      <c r="U131" s="2" t="inlineStr">
        <is>
          <t>Ricerca</t>
        </is>
      </c>
      <c r="V131" s="3" t="n"/>
      <c r="W131" s="3" t="inlineStr">
        <is>
          <t>Consorzio: min. 3 enti indipendenti da 3 paesi UE/associati (regola standard, verificare il topic)</t>
        </is>
      </c>
      <c r="X131" s="2" t="inlineStr">
        <is>
          <t>Stati membri UE e paesi associati (altri paesi secondo le condizioni del topic)</t>
        </is>
      </c>
      <c r="Y131" s="2" t="inlineStr">
        <is>
          <t>Inglese</t>
        </is>
      </c>
      <c r="Z131" s="7" t="inlineStr">
        <is>
          <t>https://ec.europa.eu/info/funding-tenders/opportunities/portal/screen/opportunities/topic-details/HORIZON-MISS-2027-05-SOIL-04-two-stage</t>
        </is>
      </c>
      <c r="AA131" s="3" t="n"/>
      <c r="AB131" s="2" t="inlineStr">
        <is>
          <t>In apertura</t>
        </is>
      </c>
      <c r="AC131" s="5" t="n">
        <v>46312</v>
      </c>
      <c r="AD131" s="5" t="n">
        <v>46312</v>
      </c>
      <c r="AE131" s="2" t="n"/>
    </row>
    <row r="132">
      <c r="A132" s="2" t="inlineStr">
        <is>
          <t>EU-HORIZON-MISS-2027-05-SOIL-03-two-stage</t>
        </is>
      </c>
      <c r="B132" s="2" t="inlineStr">
        <is>
          <t>EU Funding &amp; Tenders Portal</t>
        </is>
      </c>
      <c r="C132" s="2" t="inlineStr">
        <is>
          <t>Horizon Europe – HORIZON Innovation Actions</t>
        </is>
      </c>
      <c r="D132" s="2" t="inlineStr">
        <is>
          <t>Commissione europea</t>
        </is>
      </c>
      <c r="E132" s="3" t="inlineStr">
        <is>
          <t>Agroforestry for soil health at landscape level</t>
        </is>
      </c>
      <c r="F132" s="3" t="inlineStr">
        <is>
          <t>Agroforestry for soil health at landscape level</t>
        </is>
      </c>
      <c r="G132" s="2" t="inlineStr">
        <is>
          <t>Invecchiamento</t>
        </is>
      </c>
      <c r="H132" s="2" t="inlineStr">
        <is>
          <t>longevit</t>
        </is>
      </c>
      <c r="I132" s="2" t="inlineStr">
        <is>
          <t>Non analizzato</t>
        </is>
      </c>
      <c r="J132" s="3" t="n"/>
      <c r="K132" s="4" t="n">
        <v>16000000</v>
      </c>
      <c r="L132" s="4" t="n">
        <v>8000000</v>
      </c>
      <c r="M132" s="2" t="inlineStr">
        <is>
          <t>EUR</t>
        </is>
      </c>
      <c r="N132" s="2" t="n">
        <v>2</v>
      </c>
      <c r="O132" s="3" t="inlineStr">
        <is>
          <t>Bassa – 2 progetti finanziabili (stima: tasso storico non disponibile)</t>
        </is>
      </c>
      <c r="P132" s="3" t="inlineStr">
        <is>
          <t>70% per le imprese, 100% per gli enti non profit</t>
        </is>
      </c>
      <c r="Q132" s="5" t="n">
        <v>46485</v>
      </c>
      <c r="R132" s="6">
        <f>IF(Q132="","",Q132-TODAY())</f>
        <v/>
      </c>
      <c r="S132" s="5" t="n">
        <v>46422</v>
      </c>
      <c r="T132" s="2" t="n"/>
      <c r="U132" s="2" t="inlineStr">
        <is>
          <t>Innovazione</t>
        </is>
      </c>
      <c r="V132" s="3" t="n"/>
      <c r="W132" s="3" t="inlineStr">
        <is>
          <t>Consorzio: min. 3 enti indipendenti da 3 paesi UE/associati (regola standard, verificare il topic)</t>
        </is>
      </c>
      <c r="X132" s="2" t="inlineStr">
        <is>
          <t>Stati membri UE e paesi associati (altri paesi secondo le condizioni del topic)</t>
        </is>
      </c>
      <c r="Y132" s="2" t="inlineStr">
        <is>
          <t>Inglese</t>
        </is>
      </c>
      <c r="Z132" s="7" t="inlineStr">
        <is>
          <t>https://ec.europa.eu/info/funding-tenders/opportunities/portal/screen/opportunities/topic-details/HORIZON-MISS-2027-05-SOIL-03-two-stage</t>
        </is>
      </c>
      <c r="AA132" s="3" t="n"/>
      <c r="AB132" s="2" t="inlineStr">
        <is>
          <t>In apertura</t>
        </is>
      </c>
      <c r="AC132" s="5" t="n">
        <v>46312</v>
      </c>
      <c r="AD132" s="5" t="n">
        <v>46312</v>
      </c>
      <c r="AE132" s="2" t="n"/>
    </row>
    <row r="133">
      <c r="A133" s="2" t="inlineStr">
        <is>
          <t>EU-HORIZON-MISS-2027-05-SOIL-01-two-stage</t>
        </is>
      </c>
      <c r="B133" s="2" t="inlineStr">
        <is>
          <t>EU Funding &amp; Tenders Portal</t>
        </is>
      </c>
      <c r="C133" s="2" t="inlineStr">
        <is>
          <t>Horizon Europe – HORIZON  Research and Innovation Actions</t>
        </is>
      </c>
      <c r="D133" s="2" t="inlineStr">
        <is>
          <t>Commissione europea</t>
        </is>
      </c>
      <c r="E133" s="3" t="inlineStr">
        <is>
          <t>Living labs to enhance soil health in Continental, Black Sea, Pannonian and Steppic biogeographical regions</t>
        </is>
      </c>
      <c r="F133" s="3" t="inlineStr">
        <is>
          <t>Living labs to enhance soil health in Continental, Black Sea, Pannonian and Steppic biogeographical regions</t>
        </is>
      </c>
      <c r="G133" s="2" t="inlineStr">
        <is>
          <t>Invecchiamento</t>
        </is>
      </c>
      <c r="H133" s="2" t="inlineStr">
        <is>
          <t>longevit</t>
        </is>
      </c>
      <c r="I133" s="2" t="inlineStr">
        <is>
          <t>Non analizzato</t>
        </is>
      </c>
      <c r="J133" s="3" t="n"/>
      <c r="K133" s="4" t="n">
        <v>24000000</v>
      </c>
      <c r="L133" s="4" t="n">
        <v>12000000</v>
      </c>
      <c r="M133" s="2" t="inlineStr">
        <is>
          <t>EUR</t>
        </is>
      </c>
      <c r="N133" s="2" t="n">
        <v>2</v>
      </c>
      <c r="O133" s="3" t="inlineStr">
        <is>
          <t>Bassa – 2 progetti finanziabili (stima: tasso storico non disponibile)</t>
        </is>
      </c>
      <c r="P133" s="3" t="inlineStr">
        <is>
          <t>100% – finanziato per intero</t>
        </is>
      </c>
      <c r="Q133" s="5" t="n">
        <v>46485</v>
      </c>
      <c r="R133" s="6">
        <f>IF(Q133="","",Q133-TODAY())</f>
        <v/>
      </c>
      <c r="S133" s="5" t="n">
        <v>46422</v>
      </c>
      <c r="T133" s="2" t="n"/>
      <c r="U133" s="2" t="inlineStr">
        <is>
          <t>Ricerca</t>
        </is>
      </c>
      <c r="V133" s="3" t="n"/>
      <c r="W133" s="3" t="inlineStr">
        <is>
          <t>Consorzio: min. 3 enti indipendenti da 3 paesi UE/associati (regola standard, verificare il topic)</t>
        </is>
      </c>
      <c r="X133" s="2" t="inlineStr">
        <is>
          <t>Stati membri UE e paesi associati (altri paesi secondo le condizioni del topic)</t>
        </is>
      </c>
      <c r="Y133" s="2" t="inlineStr">
        <is>
          <t>Inglese</t>
        </is>
      </c>
      <c r="Z133" s="7" t="inlineStr">
        <is>
          <t>https://ec.europa.eu/info/funding-tenders/opportunities/portal/screen/opportunities/topic-details/HORIZON-MISS-2027-05-SOIL-01-two-stage</t>
        </is>
      </c>
      <c r="AA133" s="3" t="n"/>
      <c r="AB133" s="2" t="inlineStr">
        <is>
          <t>In apertura</t>
        </is>
      </c>
      <c r="AC133" s="5" t="n">
        <v>46312</v>
      </c>
      <c r="AD133" s="5" t="n">
        <v>46312</v>
      </c>
      <c r="AE133" s="2" t="n"/>
    </row>
    <row r="134">
      <c r="A134" s="2" t="inlineStr">
        <is>
          <t>EU-HORIZON-MISS-2027-05-SOIL-02-two-stage</t>
        </is>
      </c>
      <c r="B134" s="2" t="inlineStr">
        <is>
          <t>EU Funding &amp; Tenders Portal</t>
        </is>
      </c>
      <c r="C134" s="2" t="inlineStr">
        <is>
          <t>Horizon Europe – HORIZON  Research and Innovation Actions</t>
        </is>
      </c>
      <c r="D134" s="2" t="inlineStr">
        <is>
          <t>Commissione europea</t>
        </is>
      </c>
      <c r="E134" s="3" t="inlineStr">
        <is>
          <t>Living Labs for co-creating solutions to reduce eutrophication from agriculture</t>
        </is>
      </c>
      <c r="F134" s="3" t="inlineStr">
        <is>
          <t>Living Labs for co-creating solutions to reduce eutrophication from agriculture</t>
        </is>
      </c>
      <c r="G134" s="2" t="inlineStr">
        <is>
          <t>Invecchiamento</t>
        </is>
      </c>
      <c r="H134" s="2" t="inlineStr">
        <is>
          <t>longevit</t>
        </is>
      </c>
      <c r="I134" s="2" t="inlineStr">
        <is>
          <t>Non analizzato</t>
        </is>
      </c>
      <c r="J134" s="3" t="n"/>
      <c r="K134" s="4" t="n">
        <v>24000000</v>
      </c>
      <c r="L134" s="4" t="n">
        <v>12000000</v>
      </c>
      <c r="M134" s="2" t="inlineStr">
        <is>
          <t>EUR</t>
        </is>
      </c>
      <c r="N134" s="2" t="n">
        <v>2</v>
      </c>
      <c r="O134" s="3" t="inlineStr">
        <is>
          <t>Bassa – 2 progetti finanziabili (stima: tasso storico non disponibile)</t>
        </is>
      </c>
      <c r="P134" s="3" t="inlineStr">
        <is>
          <t>100% – finanziato per intero</t>
        </is>
      </c>
      <c r="Q134" s="5" t="n">
        <v>46485</v>
      </c>
      <c r="R134" s="6">
        <f>IF(Q134="","",Q134-TODAY())</f>
        <v/>
      </c>
      <c r="S134" s="5" t="n">
        <v>46422</v>
      </c>
      <c r="T134" s="2" t="n"/>
      <c r="U134" s="2" t="inlineStr">
        <is>
          <t>Ricerca</t>
        </is>
      </c>
      <c r="V134" s="3" t="n"/>
      <c r="W134" s="3" t="inlineStr">
        <is>
          <t>Consorzio: min. 3 enti indipendenti da 3 paesi UE/associati (regola standard, verificare il topic)</t>
        </is>
      </c>
      <c r="X134" s="2" t="inlineStr">
        <is>
          <t>Stati membri UE e paesi associati (altri paesi secondo le condizioni del topic)</t>
        </is>
      </c>
      <c r="Y134" s="2" t="inlineStr">
        <is>
          <t>Inglese</t>
        </is>
      </c>
      <c r="Z134" s="7" t="inlineStr">
        <is>
          <t>https://ec.europa.eu/info/funding-tenders/opportunities/portal/screen/opportunities/topic-details/HORIZON-MISS-2027-05-SOIL-02-two-stage</t>
        </is>
      </c>
      <c r="AA134" s="3" t="n"/>
      <c r="AB134" s="2" t="inlineStr">
        <is>
          <t>In apertura</t>
        </is>
      </c>
      <c r="AC134" s="5" t="n">
        <v>46312</v>
      </c>
      <c r="AD134" s="5" t="n">
        <v>46312</v>
      </c>
      <c r="AE134" s="2" t="n"/>
    </row>
    <row r="135">
      <c r="A135" s="2" t="inlineStr">
        <is>
          <t>EU-HORIZON-MISS-2027-05-SOIL-06-two-stage</t>
        </is>
      </c>
      <c r="B135" s="2" t="inlineStr">
        <is>
          <t>EU Funding &amp; Tenders Portal</t>
        </is>
      </c>
      <c r="C135" s="2" t="inlineStr">
        <is>
          <t>Horizon Europe – HORIZON  Research and Innovation Actions</t>
        </is>
      </c>
      <c r="D135" s="2" t="inlineStr">
        <is>
          <t>Commissione europea</t>
        </is>
      </c>
      <c r="E135" s="3" t="inlineStr">
        <is>
          <t>Long-term drivers and consequences of soil degradation: learning from the past to improve future soil health</t>
        </is>
      </c>
      <c r="F135" s="3" t="inlineStr">
        <is>
          <t>Long-term drivers and consequences of soil degradation: learning from the past to improve future soil health</t>
        </is>
      </c>
      <c r="G135" s="2" t="inlineStr">
        <is>
          <t>Invecchiamento</t>
        </is>
      </c>
      <c r="H135" s="2" t="inlineStr">
        <is>
          <t>longevit</t>
        </is>
      </c>
      <c r="I135" s="2" t="inlineStr">
        <is>
          <t>Non analizzato</t>
        </is>
      </c>
      <c r="J135" s="3" t="n"/>
      <c r="K135" s="4" t="n">
        <v>7000000</v>
      </c>
      <c r="L135" s="4" t="n">
        <v>7000000</v>
      </c>
      <c r="M135" s="2" t="inlineStr">
        <is>
          <t>EUR</t>
        </is>
      </c>
      <c r="N135" s="2" t="n">
        <v>1</v>
      </c>
      <c r="O135" s="3" t="inlineStr">
        <is>
          <t>Bassa – 1 progetti finanziabili (stima: tasso storico non disponibile)</t>
        </is>
      </c>
      <c r="P135" s="3" t="inlineStr">
        <is>
          <t>100% – finanziato per intero</t>
        </is>
      </c>
      <c r="Q135" s="5" t="n">
        <v>46485</v>
      </c>
      <c r="R135" s="6">
        <f>IF(Q135="","",Q135-TODAY())</f>
        <v/>
      </c>
      <c r="S135" s="5" t="n">
        <v>46422</v>
      </c>
      <c r="T135" s="2" t="n"/>
      <c r="U135" s="2" t="inlineStr">
        <is>
          <t>Ricerca</t>
        </is>
      </c>
      <c r="V135" s="3" t="n"/>
      <c r="W135" s="3" t="inlineStr">
        <is>
          <t>Consorzio: min. 3 enti indipendenti da 3 paesi UE/associati (regola standard, verificare il topic)</t>
        </is>
      </c>
      <c r="X135" s="2" t="inlineStr">
        <is>
          <t>Stati membri UE e paesi associati (altri paesi secondo le condizioni del topic)</t>
        </is>
      </c>
      <c r="Y135" s="2" t="inlineStr">
        <is>
          <t>Inglese</t>
        </is>
      </c>
      <c r="Z135" s="7" t="inlineStr">
        <is>
          <t>https://ec.europa.eu/info/funding-tenders/opportunities/portal/screen/opportunities/topic-details/HORIZON-MISS-2027-05-SOIL-06-two-stage</t>
        </is>
      </c>
      <c r="AA135" s="3" t="n"/>
      <c r="AB135" s="2" t="inlineStr">
        <is>
          <t>In apertura</t>
        </is>
      </c>
      <c r="AC135" s="5" t="n">
        <v>46312</v>
      </c>
      <c r="AD135" s="5" t="n">
        <v>46312</v>
      </c>
      <c r="AE135" s="2" t="n"/>
    </row>
    <row r="136">
      <c r="A136" s="2" t="inlineStr">
        <is>
          <t>EU-HORIZON-CL2-2027-02-DEMOCRACY-09-two-stage</t>
        </is>
      </c>
      <c r="B136" s="2" t="inlineStr">
        <is>
          <t>EU Funding &amp; Tenders Portal</t>
        </is>
      </c>
      <c r="C136" s="2" t="inlineStr">
        <is>
          <t>Horizon Europe – HORIZON  Research and Innovation Actions</t>
        </is>
      </c>
      <c r="D136" s="2" t="inlineStr">
        <is>
          <t>Commissione europea</t>
        </is>
      </c>
      <c r="E136" s="3" t="inlineStr">
        <is>
          <t>Open topic on reinvigorating and shielding European democracy</t>
        </is>
      </c>
      <c r="F136" s="3" t="inlineStr">
        <is>
          <t>Open topic on reinvigorating and shielding European democracy</t>
        </is>
      </c>
      <c r="G136" s="2" t="inlineStr">
        <is>
          <t>Riabilitazione</t>
        </is>
      </c>
      <c r="H136" s="2" t="inlineStr">
        <is>
          <t>disabilit</t>
        </is>
      </c>
      <c r="I136" s="2" t="inlineStr">
        <is>
          <t>Non analizzato</t>
        </is>
      </c>
      <c r="J136" s="3" t="n"/>
      <c r="K136" s="4" t="n">
        <v>22000000</v>
      </c>
      <c r="L136" s="4" t="n">
        <v>3700000</v>
      </c>
      <c r="M136" s="2" t="inlineStr">
        <is>
          <t>EUR</t>
        </is>
      </c>
      <c r="N136" s="2" t="n">
        <v>6</v>
      </c>
      <c r="O136" s="3" t="inlineStr">
        <is>
          <t>Media – 6 progetti finanziabili (stima: tasso storico non disponibile)</t>
        </is>
      </c>
      <c r="P136" s="3" t="inlineStr">
        <is>
          <t>100% – finanziato per intero</t>
        </is>
      </c>
      <c r="Q136" s="5" t="n">
        <v>46511</v>
      </c>
      <c r="R136" s="6">
        <f>IF(Q136="","",Q136-TODAY())</f>
        <v/>
      </c>
      <c r="S136" s="5" t="n">
        <v>46448</v>
      </c>
      <c r="T136" s="2" t="n"/>
      <c r="U136" s="2" t="inlineStr">
        <is>
          <t>Ricerca</t>
        </is>
      </c>
      <c r="V136" s="3" t="n"/>
      <c r="W136" s="3" t="inlineStr">
        <is>
          <t>Consorzio: min. 3 enti indipendenti da 3 paesi UE/associati (regola standard, verificare il topic)</t>
        </is>
      </c>
      <c r="X136" s="2" t="inlineStr">
        <is>
          <t>Stati membri UE e paesi associati (altri paesi secondo le condizioni del topic)</t>
        </is>
      </c>
      <c r="Y136" s="2" t="inlineStr">
        <is>
          <t>Inglese</t>
        </is>
      </c>
      <c r="Z136" s="7" t="inlineStr">
        <is>
          <t>https://ec.europa.eu/info/funding-tenders/opportunities/portal/screen/opportunities/topic-details/HORIZON-CL2-2027-02-DEMOCRACY-09-two-stage</t>
        </is>
      </c>
      <c r="AA136" s="3" t="n"/>
      <c r="AB136" s="2" t="inlineStr">
        <is>
          <t>In apertura</t>
        </is>
      </c>
      <c r="AC136" s="5" t="n">
        <v>46312</v>
      </c>
      <c r="AD136" s="5" t="n">
        <v>46312</v>
      </c>
      <c r="AE136" s="2" t="n"/>
    </row>
    <row r="137">
      <c r="A137" s="2" t="inlineStr">
        <is>
          <t>EU-HORIZON-CL6-2027-03-GOVERNANCE-04</t>
        </is>
      </c>
      <c r="B137" s="2" t="inlineStr">
        <is>
          <t>EU Funding &amp; Tenders Portal</t>
        </is>
      </c>
      <c r="C137" s="2" t="inlineStr">
        <is>
          <t>Horizon Europe – HORIZON Innovation Actions</t>
        </is>
      </c>
      <c r="D137" s="2" t="inlineStr">
        <is>
          <t>Commissione europea</t>
        </is>
      </c>
      <c r="E137" s="3" t="inlineStr">
        <is>
          <t>AI supporting informed advice for farmers and foresters to improve competitiveness and sustainability</t>
        </is>
      </c>
      <c r="F137" s="3" t="inlineStr">
        <is>
          <t>AI supporting informed advice for farmers and foresters to improve competitiveness and sustainability</t>
        </is>
      </c>
      <c r="G137" s="2" t="inlineStr">
        <is>
          <t>Tecnologie riabilitazione</t>
        </is>
      </c>
      <c r="H137" s="2" t="inlineStr">
        <is>
          <t>assistive technolog</t>
        </is>
      </c>
      <c r="I137" s="2" t="inlineStr">
        <is>
          <t>Non analizzato</t>
        </is>
      </c>
      <c r="J137" s="3" t="n"/>
      <c r="K137" s="4" t="n">
        <v>11800000</v>
      </c>
      <c r="L137" s="4" t="n">
        <v>6000000</v>
      </c>
      <c r="M137" s="2" t="inlineStr">
        <is>
          <t>EUR</t>
        </is>
      </c>
      <c r="N137" s="2" t="n">
        <v>2</v>
      </c>
      <c r="O137" s="3" t="inlineStr">
        <is>
          <t>Bassa – 2 progetti finanziabili (stima: tasso storico non disponibile)</t>
        </is>
      </c>
      <c r="P137" s="3" t="inlineStr">
        <is>
          <t>70% per le imprese, 100% per gli enti non profit</t>
        </is>
      </c>
      <c r="Q137" s="5" t="n">
        <v>46518</v>
      </c>
      <c r="R137" s="6">
        <f>IF(Q137="","",Q137-TODAY())</f>
        <v/>
      </c>
      <c r="S137" s="5" t="n">
        <v>46422</v>
      </c>
      <c r="T137" s="2" t="n"/>
      <c r="U137" s="2" t="inlineStr">
        <is>
          <t>Innovazione</t>
        </is>
      </c>
      <c r="V137" s="3" t="n"/>
      <c r="W137" s="3" t="inlineStr">
        <is>
          <t>Consorzio: min. 3 enti indipendenti da 3 paesi UE/associati (regola standard, verificare il topic)</t>
        </is>
      </c>
      <c r="X137" s="2" t="inlineStr">
        <is>
          <t>Stati membri UE e paesi associati (altri paesi secondo le condizioni del topic)</t>
        </is>
      </c>
      <c r="Y137" s="2" t="inlineStr">
        <is>
          <t>Inglese</t>
        </is>
      </c>
      <c r="Z137" s="7" t="inlineStr">
        <is>
          <t>https://ec.europa.eu/info/funding-tenders/opportunities/portal/screen/opportunities/topic-details/HORIZON-CL6-2027-03-GOVERNANCE-04</t>
        </is>
      </c>
      <c r="AA137" s="3" t="n"/>
      <c r="AB137" s="2" t="inlineStr">
        <is>
          <t>In apertura</t>
        </is>
      </c>
      <c r="AC137" s="5" t="n">
        <v>46312</v>
      </c>
      <c r="AD137" s="5" t="n">
        <v>46312</v>
      </c>
      <c r="AE137" s="2" t="n"/>
    </row>
    <row r="138">
      <c r="A138" s="2" t="inlineStr">
        <is>
          <t>EU-HORIZON-CL5-2027-05-D2-08</t>
        </is>
      </c>
      <c r="B138" s="2" t="inlineStr">
        <is>
          <t>EU Funding &amp; Tenders Portal</t>
        </is>
      </c>
      <c r="C138" s="2" t="inlineStr">
        <is>
          <t>Horizon Europe – HORIZON Innovation Actions</t>
        </is>
      </c>
      <c r="D138" s="2" t="inlineStr">
        <is>
          <t>Commissione europea</t>
        </is>
      </c>
      <c r="E138" s="3" t="inlineStr">
        <is>
          <t>Demonstration for Long-duration Battery Energy Storage Systems (BATT4EU Partnership)</t>
        </is>
      </c>
      <c r="F138" s="3" t="inlineStr">
        <is>
          <t>Demonstration for Long-duration Battery Energy Storage Systems (BATT4EU Partnership)</t>
        </is>
      </c>
      <c r="G138" s="2" t="inlineStr">
        <is>
          <t>Invecchiamento</t>
        </is>
      </c>
      <c r="H138" s="2" t="inlineStr">
        <is>
          <t>longevit</t>
        </is>
      </c>
      <c r="I138" s="2" t="inlineStr">
        <is>
          <t>Non analizzato</t>
        </is>
      </c>
      <c r="J138" s="3" t="n"/>
      <c r="K138" s="4" t="n">
        <v>18800000</v>
      </c>
      <c r="L138" s="4" t="n">
        <v>9400000</v>
      </c>
      <c r="M138" s="2" t="inlineStr">
        <is>
          <t>EUR</t>
        </is>
      </c>
      <c r="N138" s="2" t="n">
        <v>2</v>
      </c>
      <c r="O138" s="3" t="inlineStr">
        <is>
          <t>Bassa – 2 progetti finanziabili (stima: tasso storico non disponibile)</t>
        </is>
      </c>
      <c r="P138" s="3" t="inlineStr">
        <is>
          <t>70% per le imprese, 100% per gli enti non profit</t>
        </is>
      </c>
      <c r="Q138" s="5" t="n">
        <v>46645</v>
      </c>
      <c r="R138" s="6">
        <f>IF(Q138="","",Q138-TODAY())</f>
        <v/>
      </c>
      <c r="S138" s="5" t="n">
        <v>46512</v>
      </c>
      <c r="T138" s="2" t="n"/>
      <c r="U138" s="2" t="inlineStr">
        <is>
          <t>Innovazione</t>
        </is>
      </c>
      <c r="V138" s="3" t="n"/>
      <c r="W138" s="3" t="inlineStr">
        <is>
          <t>Consorzio: min. 3 enti indipendenti da 3 paesi UE/associati (regola standard, verificare il topic)</t>
        </is>
      </c>
      <c r="X138" s="2" t="inlineStr">
        <is>
          <t>Stati membri UE e paesi associati (altri paesi secondo le condizioni del topic)</t>
        </is>
      </c>
      <c r="Y138" s="2" t="inlineStr">
        <is>
          <t>Inglese</t>
        </is>
      </c>
      <c r="Z138" s="7" t="inlineStr">
        <is>
          <t>https://ec.europa.eu/info/funding-tenders/opportunities/portal/screen/opportunities/topic-details/HORIZON-CL5-2027-05-D2-08</t>
        </is>
      </c>
      <c r="AA138" s="3" t="n"/>
      <c r="AB138" s="2" t="inlineStr">
        <is>
          <t>In apertura</t>
        </is>
      </c>
      <c r="AC138" s="5" t="n">
        <v>46312</v>
      </c>
      <c r="AD138" s="5" t="n">
        <v>46312</v>
      </c>
      <c r="AE138" s="2" t="n"/>
    </row>
    <row r="139">
      <c r="A139" s="2" t="inlineStr">
        <is>
          <t>EU-HORIZON-MISS-2027-02-CANCER-04</t>
        </is>
      </c>
      <c r="B139" s="2" t="inlineStr">
        <is>
          <t>EU Funding &amp; Tenders Portal</t>
        </is>
      </c>
      <c r="C139" s="2" t="inlineStr">
        <is>
          <t>Horizon Europe – HORIZON  Research and Innovation Actions</t>
        </is>
      </c>
      <c r="D139" s="2" t="inlineStr">
        <is>
          <t>Commissione europea</t>
        </is>
      </c>
      <c r="E139" s="3" t="inlineStr">
        <is>
          <t>Improving equitable health outcomes and added value for and with cancer patients through health-economics research, health systems research and outcomes research</t>
        </is>
      </c>
      <c r="F139" s="3" t="inlineStr">
        <is>
          <t>Improving equitable health outcomes and added value for and with cancer patients through health-economics research, health systems research and outcomes research</t>
        </is>
      </c>
      <c r="G139" s="2" t="inlineStr">
        <is>
          <t>Invecchiamento</t>
        </is>
      </c>
      <c r="H139" s="2" t="inlineStr">
        <is>
          <t>elderly, rehabilitat</t>
        </is>
      </c>
      <c r="I139" s="2" t="inlineStr">
        <is>
          <t>Non analizzato</t>
        </is>
      </c>
      <c r="J139" s="3" t="n"/>
      <c r="K139" s="4" t="n">
        <v>10000000</v>
      </c>
      <c r="L139" s="4" t="n">
        <v>7000000</v>
      </c>
      <c r="M139" s="2" t="inlineStr">
        <is>
          <t>EUR</t>
        </is>
      </c>
      <c r="N139" s="2" t="n">
        <v>3</v>
      </c>
      <c r="O139" s="3" t="inlineStr">
        <is>
          <t>Bassa – 3 progetti finanziabili (stima: tasso storico non disponibile)</t>
        </is>
      </c>
      <c r="P139" s="3" t="inlineStr">
        <is>
          <t>100% – finanziato per intero</t>
        </is>
      </c>
      <c r="Q139" s="5" t="n">
        <v>46646</v>
      </c>
      <c r="R139" s="6">
        <f>IF(Q139="","",Q139-TODAY())</f>
        <v/>
      </c>
      <c r="S139" s="5" t="n">
        <v>46428</v>
      </c>
      <c r="T139" s="2" t="n"/>
      <c r="U139" s="2" t="inlineStr">
        <is>
          <t>Ricerca</t>
        </is>
      </c>
      <c r="V139" s="3" t="n"/>
      <c r="W139" s="3" t="inlineStr">
        <is>
          <t>Consorzio: min. 3 enti indipendenti da 3 paesi UE/associati (regola standard, verificare il topic)</t>
        </is>
      </c>
      <c r="X139" s="2" t="inlineStr">
        <is>
          <t>Stati membri UE e paesi associati (altri paesi secondo le condizioni del topic)</t>
        </is>
      </c>
      <c r="Y139" s="2" t="inlineStr">
        <is>
          <t>Inglese</t>
        </is>
      </c>
      <c r="Z139" s="7" t="inlineStr">
        <is>
          <t>https://ec.europa.eu/info/funding-tenders/opportunities/portal/screen/opportunities/topic-details/HORIZON-MISS-2027-02-CANCER-04</t>
        </is>
      </c>
      <c r="AA139" s="3" t="n"/>
      <c r="AB139" s="2" t="inlineStr">
        <is>
          <t>In apertura</t>
        </is>
      </c>
      <c r="AC139" s="5" t="n">
        <v>46312</v>
      </c>
      <c r="AD139" s="5" t="n">
        <v>46312</v>
      </c>
      <c r="AE139" s="2" t="n"/>
    </row>
    <row r="140">
      <c r="A140" s="2" t="inlineStr">
        <is>
          <t>EU-HORIZON-MISS-2027-02-CANCER-06</t>
        </is>
      </c>
      <c r="B140" s="2" t="inlineStr">
        <is>
          <t>EU Funding &amp; Tenders Portal</t>
        </is>
      </c>
      <c r="C140" s="2" t="inlineStr">
        <is>
          <t>Horizon Europe – HORIZON Coordination and Support Actions</t>
        </is>
      </c>
      <c r="D140" s="2" t="inlineStr">
        <is>
          <t>Commissione europea</t>
        </is>
      </c>
      <c r="E140" s="3" t="inlineStr">
        <is>
          <t>Support a Young Cancer Survivor Quality of Life (QoL) research programme by cancer charities and funding agencies</t>
        </is>
      </c>
      <c r="F140" s="3" t="inlineStr">
        <is>
          <t>Support a Young Cancer Survivor Quality of Life (QoL) research programme by cancer charities and funding agencies</t>
        </is>
      </c>
      <c r="G140" s="2" t="inlineStr">
        <is>
          <t>Riabilitazione</t>
        </is>
      </c>
      <c r="H140" s="2" t="inlineStr">
        <is>
          <t>rehabilitat</t>
        </is>
      </c>
      <c r="I140" s="2" t="inlineStr">
        <is>
          <t>Non analizzato</t>
        </is>
      </c>
      <c r="J140" s="3" t="n"/>
      <c r="K140" s="4" t="n">
        <v>3000000</v>
      </c>
      <c r="L140" s="4" t="n">
        <v>3000000</v>
      </c>
      <c r="M140" s="2" t="inlineStr">
        <is>
          <t>EUR</t>
        </is>
      </c>
      <c r="N140" s="2" t="n">
        <v>1</v>
      </c>
      <c r="O140" s="3" t="inlineStr">
        <is>
          <t>Bassa – 1 progetti finanziabili (stima: tasso storico non disponibile)</t>
        </is>
      </c>
      <c r="P140" s="3" t="inlineStr">
        <is>
          <t>100% – finanziato per intero</t>
        </is>
      </c>
      <c r="Q140" s="5" t="n">
        <v>46646</v>
      </c>
      <c r="R140" s="6">
        <f>IF(Q140="","",Q140-TODAY())</f>
        <v/>
      </c>
      <c r="S140" s="5" t="n">
        <v>46428</v>
      </c>
      <c r="T140" s="2" t="n"/>
      <c r="U140" s="2" t="inlineStr">
        <is>
          <t>Coordinamento e supporto</t>
        </is>
      </c>
      <c r="V140" s="3" t="n"/>
      <c r="W140" s="3" t="inlineStr">
        <is>
          <t>Anche un singolo ente (regola standard CSA, verificare il topic)</t>
        </is>
      </c>
      <c r="X140" s="2" t="inlineStr">
        <is>
          <t>Stati membri UE e paesi associati (altri paesi secondo le condizioni del topic)</t>
        </is>
      </c>
      <c r="Y140" s="2" t="inlineStr">
        <is>
          <t>Inglese</t>
        </is>
      </c>
      <c r="Z140" s="7" t="inlineStr">
        <is>
          <t>https://ec.europa.eu/info/funding-tenders/opportunities/portal/screen/opportunities/topic-details/HORIZON-MISS-2027-02-CANCER-06</t>
        </is>
      </c>
      <c r="AA140" s="3" t="n"/>
      <c r="AB140" s="2" t="inlineStr">
        <is>
          <t>In apertura</t>
        </is>
      </c>
      <c r="AC140" s="5" t="n">
        <v>46312</v>
      </c>
      <c r="AD140" s="5" t="n">
        <v>46312</v>
      </c>
      <c r="AE140" s="2" t="n"/>
    </row>
    <row r="141">
      <c r="A141" s="2" t="inlineStr">
        <is>
          <t>EU-HORIZON-CL6-2027-01-BIODIV-04</t>
        </is>
      </c>
      <c r="B141" s="2" t="inlineStr">
        <is>
          <t>EU Funding &amp; Tenders Portal</t>
        </is>
      </c>
      <c r="C141" s="2" t="inlineStr">
        <is>
          <t>Horizon Europe – HORIZON  Research and Innovation Actions</t>
        </is>
      </c>
      <c r="D141" s="2" t="inlineStr">
        <is>
          <t>Commissione europea</t>
        </is>
      </c>
      <c r="E141" s="3" t="inlineStr">
        <is>
          <t>Living Labs for the eradication and/or management of invasive alien species</t>
        </is>
      </c>
      <c r="F141" s="3" t="inlineStr">
        <is>
          <t>Living Labs for the eradication and/or management of invasive alien species</t>
        </is>
      </c>
      <c r="G141" s="2" t="inlineStr">
        <is>
          <t>Tecnologie riabilitazione</t>
        </is>
      </c>
      <c r="H141" s="2" t="inlineStr">
        <is>
          <t>rehabilitat, robot</t>
        </is>
      </c>
      <c r="I141" s="2" t="inlineStr">
        <is>
          <t>Non analizzato</t>
        </is>
      </c>
      <c r="J141" s="3" t="n"/>
      <c r="K141" s="4" t="n">
        <v>24000000</v>
      </c>
      <c r="L141" s="4" t="n">
        <v>8000000</v>
      </c>
      <c r="M141" s="2" t="inlineStr">
        <is>
          <t>EUR</t>
        </is>
      </c>
      <c r="N141" s="2" t="n">
        <v>3</v>
      </c>
      <c r="O141" s="3" t="inlineStr">
        <is>
          <t>Bassa – 3 progetti finanziabili (stima: tasso storico non disponibile)</t>
        </is>
      </c>
      <c r="P141" s="3" t="inlineStr">
        <is>
          <t>100% – finanziato per intero</t>
        </is>
      </c>
      <c r="Q141" s="5" t="n">
        <v>46652</v>
      </c>
      <c r="R141" s="6">
        <f>IF(Q141="","",Q141-TODAY())</f>
        <v/>
      </c>
      <c r="S141" s="5" t="n">
        <v>46497</v>
      </c>
      <c r="T141" s="2" t="n"/>
      <c r="U141" s="2" t="inlineStr">
        <is>
          <t>Ricerca</t>
        </is>
      </c>
      <c r="V141" s="3" t="n"/>
      <c r="W141" s="3" t="inlineStr">
        <is>
          <t>Consorzio: min. 3 enti indipendenti da 3 paesi UE/associati (regola standard, verificare il topic)</t>
        </is>
      </c>
      <c r="X141" s="2" t="inlineStr">
        <is>
          <t>Stati membri UE e paesi associati (altri paesi secondo le condizioni del topic)</t>
        </is>
      </c>
      <c r="Y141" s="2" t="inlineStr">
        <is>
          <t>Inglese</t>
        </is>
      </c>
      <c r="Z141" s="7" t="inlineStr">
        <is>
          <t>https://ec.europa.eu/info/funding-tenders/opportunities/portal/screen/opportunities/topic-details/HORIZON-CL6-2027-01-BIODIV-04</t>
        </is>
      </c>
      <c r="AA141" s="3" t="n"/>
      <c r="AB141" s="2" t="inlineStr">
        <is>
          <t>In apertura</t>
        </is>
      </c>
      <c r="AC141" s="5" t="n">
        <v>46312</v>
      </c>
      <c r="AD141" s="5" t="n">
        <v>46312</v>
      </c>
      <c r="AE141" s="2" t="n"/>
    </row>
    <row r="142">
      <c r="A142" s="2" t="inlineStr">
        <is>
          <t>EU-HORIZON-CL6-2027-01-BIODIV-03</t>
        </is>
      </c>
      <c r="B142" s="2" t="inlineStr">
        <is>
          <t>EU Funding &amp; Tenders Portal</t>
        </is>
      </c>
      <c r="C142" s="2" t="inlineStr">
        <is>
          <t>Horizon Europe – HORIZON Innovation Actions</t>
        </is>
      </c>
      <c r="D142" s="2" t="inlineStr">
        <is>
          <t>Commissione europea</t>
        </is>
      </c>
      <c r="E142" s="3" t="inlineStr">
        <is>
          <t>Technical innovation to protect ecosystems and to scale up their restoration</t>
        </is>
      </c>
      <c r="F142" s="3" t="inlineStr">
        <is>
          <t>Technical innovation to protect ecosystems and to scale up their restoration</t>
        </is>
      </c>
      <c r="G142" s="2" t="inlineStr">
        <is>
          <t>Riabilitazione</t>
        </is>
      </c>
      <c r="H142" s="2" t="inlineStr">
        <is>
          <t>rehabilitat</t>
        </is>
      </c>
      <c r="I142" s="2" t="inlineStr">
        <is>
          <t>Non analizzato</t>
        </is>
      </c>
      <c r="J142" s="3" t="n"/>
      <c r="K142" s="4" t="n">
        <v>14000000</v>
      </c>
      <c r="L142" s="4" t="n">
        <v>7000000</v>
      </c>
      <c r="M142" s="2" t="inlineStr">
        <is>
          <t>EUR</t>
        </is>
      </c>
      <c r="N142" s="2" t="n">
        <v>2</v>
      </c>
      <c r="O142" s="3" t="inlineStr">
        <is>
          <t>Bassa – 2 progetti finanziabili (stima: tasso storico non disponibile)</t>
        </is>
      </c>
      <c r="P142" s="3" t="inlineStr">
        <is>
          <t>70% per le imprese, 100% per gli enti non profit</t>
        </is>
      </c>
      <c r="Q142" s="5" t="n">
        <v>46652</v>
      </c>
      <c r="R142" s="6">
        <f>IF(Q142="","",Q142-TODAY())</f>
        <v/>
      </c>
      <c r="S142" s="5" t="n">
        <v>46497</v>
      </c>
      <c r="T142" s="2" t="n"/>
      <c r="U142" s="2" t="inlineStr">
        <is>
          <t>Innovazione</t>
        </is>
      </c>
      <c r="V142" s="3" t="n"/>
      <c r="W142" s="3" t="inlineStr">
        <is>
          <t>Consorzio: min. 3 enti indipendenti da 3 paesi UE/associati (regola standard, verificare il topic)</t>
        </is>
      </c>
      <c r="X142" s="2" t="inlineStr">
        <is>
          <t>Stati membri UE e paesi associati (altri paesi secondo le condizioni del topic)</t>
        </is>
      </c>
      <c r="Y142" s="2" t="inlineStr">
        <is>
          <t>Inglese</t>
        </is>
      </c>
      <c r="Z142" s="7" t="inlineStr">
        <is>
          <t>https://ec.europa.eu/info/funding-tenders/opportunities/portal/screen/opportunities/topic-details/HORIZON-CL6-2027-01-BIODIV-03</t>
        </is>
      </c>
      <c r="AA142" s="3" t="n"/>
      <c r="AB142" s="2" t="inlineStr">
        <is>
          <t>In apertura</t>
        </is>
      </c>
      <c r="AC142" s="5" t="n">
        <v>46312</v>
      </c>
      <c r="AD142" s="5" t="n">
        <v>46312</v>
      </c>
      <c r="AE142" s="2" t="n"/>
    </row>
    <row r="143">
      <c r="A143" s="2" t="inlineStr">
        <is>
          <t>EU-HORIZON-CL6-2027-01-CIRCBIO-04</t>
        </is>
      </c>
      <c r="B143" s="2" t="inlineStr">
        <is>
          <t>EU Funding &amp; Tenders Portal</t>
        </is>
      </c>
      <c r="C143" s="2" t="inlineStr">
        <is>
          <t>Horizon Europe – HORIZON  Research and Innovation Actions</t>
        </is>
      </c>
      <c r="D143" s="2" t="inlineStr">
        <is>
          <t>Commissione europea</t>
        </is>
      </c>
      <c r="E143" s="3" t="inlineStr">
        <is>
          <t>Capacity building for extending product lifecycles through repair and refurbishment</t>
        </is>
      </c>
      <c r="F143" s="3" t="inlineStr">
        <is>
          <t>Capacity building for extending product lifecycles through repair and refurbishment</t>
        </is>
      </c>
      <c r="G143" s="2" t="inlineStr">
        <is>
          <t>Riabilitazione</t>
        </is>
      </c>
      <c r="H143" s="2" t="inlineStr">
        <is>
          <t>disabilit</t>
        </is>
      </c>
      <c r="I143" s="2" t="inlineStr">
        <is>
          <t>Non analizzato</t>
        </is>
      </c>
      <c r="J143" s="3" t="n"/>
      <c r="K143" s="4" t="n">
        <v>9000000</v>
      </c>
      <c r="L143" s="4" t="n">
        <v>5000000</v>
      </c>
      <c r="M143" s="2" t="inlineStr">
        <is>
          <t>EUR</t>
        </is>
      </c>
      <c r="N143" s="2" t="n">
        <v>2</v>
      </c>
      <c r="O143" s="3" t="inlineStr">
        <is>
          <t>Bassa – 2 progetti finanziabili (stima: tasso storico non disponibile)</t>
        </is>
      </c>
      <c r="P143" s="3" t="inlineStr">
        <is>
          <t>100% – finanziato per intero</t>
        </is>
      </c>
      <c r="Q143" s="5" t="n">
        <v>46652</v>
      </c>
      <c r="R143" s="6">
        <f>IF(Q143="","",Q143-TODAY())</f>
        <v/>
      </c>
      <c r="S143" s="5" t="n">
        <v>46497</v>
      </c>
      <c r="T143" s="2" t="n"/>
      <c r="U143" s="2" t="inlineStr">
        <is>
          <t>Ricerca</t>
        </is>
      </c>
      <c r="V143" s="3" t="n"/>
      <c r="W143" s="3" t="inlineStr">
        <is>
          <t>Consorzio: min. 3 enti indipendenti da 3 paesi UE/associati (regola standard, verificare il topic)</t>
        </is>
      </c>
      <c r="X143" s="2" t="inlineStr">
        <is>
          <t>Stati membri UE e paesi associati (altri paesi secondo le condizioni del topic)</t>
        </is>
      </c>
      <c r="Y143" s="2" t="inlineStr">
        <is>
          <t>Inglese</t>
        </is>
      </c>
      <c r="Z143" s="7" t="inlineStr">
        <is>
          <t>https://ec.europa.eu/info/funding-tenders/opportunities/portal/screen/opportunities/topic-details/HORIZON-CL6-2027-01-CIRCBIO-04</t>
        </is>
      </c>
      <c r="AA143" s="3" t="n"/>
      <c r="AB143" s="2" t="inlineStr">
        <is>
          <t>In apertura</t>
        </is>
      </c>
      <c r="AC143" s="5" t="n">
        <v>46312</v>
      </c>
      <c r="AD143" s="5" t="n">
        <v>46312</v>
      </c>
      <c r="AE143" s="2" t="n"/>
    </row>
    <row r="144">
      <c r="A144" s="2" t="inlineStr">
        <is>
          <t>EU-HORIZON-CL6-2027-01-ZEROPOLLUTION-02</t>
        </is>
      </c>
      <c r="B144" s="2" t="inlineStr">
        <is>
          <t>EU Funding &amp; Tenders Portal</t>
        </is>
      </c>
      <c r="C144" s="2" t="inlineStr">
        <is>
          <t>Horizon Europe – HORIZON  Research and Innovation Actions</t>
        </is>
      </c>
      <c r="D144" s="2" t="inlineStr">
        <is>
          <t>Commissione europea</t>
        </is>
      </c>
      <c r="E144" s="3" t="inlineStr">
        <is>
          <t>Developing effective air quality planning strategies through innovative multi-scale modelling</t>
        </is>
      </c>
      <c r="F144" s="3" t="inlineStr">
        <is>
          <t>Developing effective air quality planning strategies through innovative multi-scale modelling</t>
        </is>
      </c>
      <c r="G144" s="2" t="inlineStr">
        <is>
          <t>Invecchiamento</t>
        </is>
      </c>
      <c r="H144" s="2" t="inlineStr">
        <is>
          <t>older people</t>
        </is>
      </c>
      <c r="I144" s="2" t="inlineStr">
        <is>
          <t>Non analizzato</t>
        </is>
      </c>
      <c r="J144" s="3" t="n"/>
      <c r="K144" s="4" t="n">
        <v>9800000</v>
      </c>
      <c r="L144" s="4" t="n">
        <v>4900000</v>
      </c>
      <c r="M144" s="2" t="inlineStr">
        <is>
          <t>EUR</t>
        </is>
      </c>
      <c r="N144" s="2" t="n">
        <v>2</v>
      </c>
      <c r="O144" s="3" t="inlineStr">
        <is>
          <t>Bassa – 2 progetti finanziabili (stima: tasso storico non disponibile)</t>
        </is>
      </c>
      <c r="P144" s="3" t="inlineStr">
        <is>
          <t>100% – finanziato per intero</t>
        </is>
      </c>
      <c r="Q144" s="5" t="n">
        <v>46652</v>
      </c>
      <c r="R144" s="6">
        <f>IF(Q144="","",Q144-TODAY())</f>
        <v/>
      </c>
      <c r="S144" s="5" t="n">
        <v>46497</v>
      </c>
      <c r="T144" s="2" t="n"/>
      <c r="U144" s="2" t="inlineStr">
        <is>
          <t>Ricerca</t>
        </is>
      </c>
      <c r="V144" s="3" t="n"/>
      <c r="W144" s="3" t="inlineStr">
        <is>
          <t>Consorzio: min. 3 enti indipendenti da 3 paesi UE/associati (regola standard, verificare il topic)</t>
        </is>
      </c>
      <c r="X144" s="2" t="inlineStr">
        <is>
          <t>Stati membri UE e paesi associati (altri paesi secondo le condizioni del topic)</t>
        </is>
      </c>
      <c r="Y144" s="2" t="inlineStr">
        <is>
          <t>Inglese</t>
        </is>
      </c>
      <c r="Z144" s="7" t="inlineStr">
        <is>
          <t>https://ec.europa.eu/info/funding-tenders/opportunities/portal/screen/opportunities/topic-details/HORIZON-CL6-2027-01-ZEROPOLLUTION-02</t>
        </is>
      </c>
      <c r="AA144" s="3" t="n"/>
      <c r="AB144" s="2" t="inlineStr">
        <is>
          <t>In apertura</t>
        </is>
      </c>
      <c r="AC144" s="5" t="n">
        <v>46312</v>
      </c>
      <c r="AD144" s="5" t="n">
        <v>46312</v>
      </c>
      <c r="AE144" s="2" t="n"/>
    </row>
    <row r="145">
      <c r="A145" s="2" t="inlineStr">
        <is>
          <t>EU-HORIZON-CL2-2027-01-HERITAGE-06</t>
        </is>
      </c>
      <c r="B145" s="2" t="inlineStr">
        <is>
          <t>EU Funding &amp; Tenders Portal</t>
        </is>
      </c>
      <c r="C145" s="2" t="inlineStr">
        <is>
          <t>Horizon Europe – HORIZON  Research and Innovation Actions</t>
        </is>
      </c>
      <c r="D145" s="2" t="inlineStr">
        <is>
          <t>Commissione europea</t>
        </is>
      </c>
      <c r="E145" s="3" t="inlineStr">
        <is>
          <t>Future-proofing sustainable cultural tourism</t>
        </is>
      </c>
      <c r="F145" s="3" t="inlineStr">
        <is>
          <t>Future-proofing sustainable cultural tourism</t>
        </is>
      </c>
      <c r="G145" s="2" t="inlineStr">
        <is>
          <t>Riabilitazione</t>
        </is>
      </c>
      <c r="H145" s="2" t="inlineStr">
        <is>
          <t>disabilit</t>
        </is>
      </c>
      <c r="I145" s="2" t="inlineStr">
        <is>
          <t>Non analizzato</t>
        </is>
      </c>
      <c r="J145" s="3" t="n"/>
      <c r="K145" s="4" t="n">
        <v>14500000</v>
      </c>
      <c r="L145" s="4" t="n">
        <v>4800000</v>
      </c>
      <c r="M145" s="2" t="inlineStr">
        <is>
          <t>EUR</t>
        </is>
      </c>
      <c r="N145" s="2" t="n">
        <v>3</v>
      </c>
      <c r="O145" s="3" t="inlineStr">
        <is>
          <t>Bassa – 3 progetti finanziabili (stima: tasso storico non disponibile)</t>
        </is>
      </c>
      <c r="P145" s="3" t="inlineStr">
        <is>
          <t>100% – finanziato per intero</t>
        </is>
      </c>
      <c r="Q145" s="5" t="n">
        <v>46653</v>
      </c>
      <c r="R145" s="6">
        <f>IF(Q145="","",Q145-TODAY())</f>
        <v/>
      </c>
      <c r="S145" s="5" t="n">
        <v>46520</v>
      </c>
      <c r="T145" s="2" t="n"/>
      <c r="U145" s="2" t="inlineStr">
        <is>
          <t>Ricerca</t>
        </is>
      </c>
      <c r="V145" s="3" t="n"/>
      <c r="W145" s="3" t="inlineStr">
        <is>
          <t>Consorzio: min. 3 enti indipendenti da 3 paesi UE/associati (regola standard, verificare il topic)</t>
        </is>
      </c>
      <c r="X145" s="2" t="inlineStr">
        <is>
          <t>Stati membri UE e paesi associati (altri paesi secondo le condizioni del topic)</t>
        </is>
      </c>
      <c r="Y145" s="2" t="inlineStr">
        <is>
          <t>Inglese</t>
        </is>
      </c>
      <c r="Z145" s="7" t="inlineStr">
        <is>
          <t>https://ec.europa.eu/info/funding-tenders/opportunities/portal/screen/opportunities/topic-details/HORIZON-CL2-2027-01-HERITAGE-06</t>
        </is>
      </c>
      <c r="AA145" s="3" t="n"/>
      <c r="AB145" s="2" t="inlineStr">
        <is>
          <t>In apertura</t>
        </is>
      </c>
      <c r="AC145" s="5" t="n">
        <v>46312</v>
      </c>
      <c r="AD145" s="5" t="n">
        <v>46312</v>
      </c>
      <c r="AE145" s="2" t="n"/>
    </row>
    <row r="146">
      <c r="A146" s="2" t="inlineStr">
        <is>
          <t>EU-HORIZON-CL2-2027-01-HERITAGE-05</t>
        </is>
      </c>
      <c r="B146" s="2" t="inlineStr">
        <is>
          <t>EU Funding &amp; Tenders Portal</t>
        </is>
      </c>
      <c r="C146" s="2" t="inlineStr">
        <is>
          <t>Horizon Europe – HORIZON  Research and Innovation Actions</t>
        </is>
      </c>
      <c r="D146" s="2" t="inlineStr">
        <is>
          <t>Commissione europea</t>
        </is>
      </c>
      <c r="E146" s="3" t="inlineStr">
        <is>
          <t>Re-imagining the creative economy: the interplay between the cultural and creative sectors and industries and the social economy</t>
        </is>
      </c>
      <c r="F146" s="3" t="inlineStr">
        <is>
          <t>Re-imagining the creative economy: the interplay between the cultural and creative sectors and industries and the social economy</t>
        </is>
      </c>
      <c r="G146" s="2" t="inlineStr">
        <is>
          <t>Riabilitazione</t>
        </is>
      </c>
      <c r="H146" s="2" t="inlineStr">
        <is>
          <t>persons with disabilities</t>
        </is>
      </c>
      <c r="I146" s="2" t="inlineStr">
        <is>
          <t>Non analizzato</t>
        </is>
      </c>
      <c r="J146" s="3" t="n"/>
      <c r="K146" s="4" t="n">
        <v>10500000</v>
      </c>
      <c r="L146" s="4" t="n">
        <v>3500000</v>
      </c>
      <c r="M146" s="2" t="inlineStr">
        <is>
          <t>EUR</t>
        </is>
      </c>
      <c r="N146" s="2" t="n">
        <v>3</v>
      </c>
      <c r="O146" s="3" t="inlineStr">
        <is>
          <t>Bassa – 3 progetti finanziabili (stima: tasso storico non disponibile)</t>
        </is>
      </c>
      <c r="P146" s="3" t="inlineStr">
        <is>
          <t>100% – finanziato per intero</t>
        </is>
      </c>
      <c r="Q146" s="5" t="n">
        <v>46653</v>
      </c>
      <c r="R146" s="6">
        <f>IF(Q146="","",Q146-TODAY())</f>
        <v/>
      </c>
      <c r="S146" s="5" t="n">
        <v>46520</v>
      </c>
      <c r="T146" s="2" t="n"/>
      <c r="U146" s="2" t="inlineStr">
        <is>
          <t>Ricerca</t>
        </is>
      </c>
      <c r="V146" s="3" t="n"/>
      <c r="W146" s="3" t="inlineStr">
        <is>
          <t>Consorzio: min. 3 enti indipendenti da 3 paesi UE/associati (regola standard, verificare il topic)</t>
        </is>
      </c>
      <c r="X146" s="2" t="inlineStr">
        <is>
          <t>Stati membri UE e paesi associati (altri paesi secondo le condizioni del topic)</t>
        </is>
      </c>
      <c r="Y146" s="2" t="inlineStr">
        <is>
          <t>Inglese</t>
        </is>
      </c>
      <c r="Z146" s="7" t="inlineStr">
        <is>
          <t>https://ec.europa.eu/info/funding-tenders/opportunities/portal/screen/opportunities/topic-details/HORIZON-CL2-2027-01-HERITAGE-05</t>
        </is>
      </c>
      <c r="AA146" s="3" t="n"/>
      <c r="AB146" s="2" t="inlineStr">
        <is>
          <t>In apertura</t>
        </is>
      </c>
      <c r="AC146" s="5" t="n">
        <v>46312</v>
      </c>
      <c r="AD146" s="5" t="n">
        <v>46312</v>
      </c>
      <c r="AE146" s="2" t="n"/>
    </row>
    <row r="147">
      <c r="A147" s="2" t="inlineStr">
        <is>
          <t>EU-HORIZON-CL2-2027-01-HERITAGE-03</t>
        </is>
      </c>
      <c r="B147" s="2" t="inlineStr">
        <is>
          <t>EU Funding &amp; Tenders Portal</t>
        </is>
      </c>
      <c r="C147" s="2" t="inlineStr">
        <is>
          <t>Horizon Europe – HORIZON  Research and Innovation Actions</t>
        </is>
      </c>
      <c r="D147" s="2" t="inlineStr">
        <is>
          <t>Commissione europea</t>
        </is>
      </c>
      <c r="E147" s="3" t="inlineStr">
        <is>
          <t>Crafting routes to a circular economy</t>
        </is>
      </c>
      <c r="F147" s="3" t="inlineStr">
        <is>
          <t>Crafting routes to a circular economy</t>
        </is>
      </c>
      <c r="G147" s="2" t="inlineStr">
        <is>
          <t>Invecchiamento</t>
        </is>
      </c>
      <c r="H147" s="2" t="inlineStr">
        <is>
          <t>longevit</t>
        </is>
      </c>
      <c r="I147" s="2" t="inlineStr">
        <is>
          <t>Non analizzato</t>
        </is>
      </c>
      <c r="J147" s="3" t="n"/>
      <c r="K147" s="4" t="n">
        <v>10500000</v>
      </c>
      <c r="L147" s="4" t="n">
        <v>3500000</v>
      </c>
      <c r="M147" s="2" t="inlineStr">
        <is>
          <t>EUR</t>
        </is>
      </c>
      <c r="N147" s="2" t="n">
        <v>3</v>
      </c>
      <c r="O147" s="3" t="inlineStr">
        <is>
          <t>Bassa – 3 progetti finanziabili (stima: tasso storico non disponibile)</t>
        </is>
      </c>
      <c r="P147" s="3" t="inlineStr">
        <is>
          <t>100% – finanziato per intero</t>
        </is>
      </c>
      <c r="Q147" s="5" t="n">
        <v>46653</v>
      </c>
      <c r="R147" s="6">
        <f>IF(Q147="","",Q147-TODAY())</f>
        <v/>
      </c>
      <c r="S147" s="5" t="n">
        <v>46520</v>
      </c>
      <c r="T147" s="2" t="n"/>
      <c r="U147" s="2" t="inlineStr">
        <is>
          <t>Ricerca</t>
        </is>
      </c>
      <c r="V147" s="3" t="n"/>
      <c r="W147" s="3" t="inlineStr">
        <is>
          <t>Consorzio: min. 3 enti indipendenti da 3 paesi UE/associati (regola standard, verificare il topic)</t>
        </is>
      </c>
      <c r="X147" s="2" t="inlineStr">
        <is>
          <t>Stati membri UE e paesi associati (altri paesi secondo le condizioni del topic)</t>
        </is>
      </c>
      <c r="Y147" s="2" t="inlineStr">
        <is>
          <t>Inglese</t>
        </is>
      </c>
      <c r="Z147" s="7" t="inlineStr">
        <is>
          <t>https://ec.europa.eu/info/funding-tenders/opportunities/portal/screen/opportunities/topic-details/HORIZON-CL2-2027-01-HERITAGE-03</t>
        </is>
      </c>
      <c r="AA147" s="3" t="n"/>
      <c r="AB147" s="2" t="inlineStr">
        <is>
          <t>In apertura</t>
        </is>
      </c>
      <c r="AC147" s="5" t="n">
        <v>46312</v>
      </c>
      <c r="AD147" s="5" t="n">
        <v>46312</v>
      </c>
      <c r="AE147" s="2" t="n"/>
    </row>
    <row r="148">
      <c r="A148" s="2" t="inlineStr">
        <is>
          <t>EU-HORIZON-CL6-2027-02-FARM2FORK-01</t>
        </is>
      </c>
      <c r="B148" s="2" t="inlineStr">
        <is>
          <t>EU Funding &amp; Tenders Portal</t>
        </is>
      </c>
      <c r="C148" s="2" t="inlineStr">
        <is>
          <t>Horizon Europe – HORIZON  Research and Innovation Actions</t>
        </is>
      </c>
      <c r="D148" s="2" t="inlineStr">
        <is>
          <t>Commissione europea</t>
        </is>
      </c>
      <c r="E148" s="3" t="inlineStr">
        <is>
          <t>Increasing the resilience of agriculture in water and nutrient-scarce environments through digital innovations</t>
        </is>
      </c>
      <c r="F148" s="3" t="inlineStr">
        <is>
          <t>Increasing the resilience of agriculture in water and nutrient-scarce environments through digital innovations</t>
        </is>
      </c>
      <c r="G148" s="2" t="inlineStr">
        <is>
          <t>Riabilitazione</t>
        </is>
      </c>
      <c r="H148" s="2" t="inlineStr">
        <is>
          <t>disabilit</t>
        </is>
      </c>
      <c r="I148" s="2" t="inlineStr">
        <is>
          <t>Non analizzato</t>
        </is>
      </c>
      <c r="J148" s="3" t="n"/>
      <c r="K148" s="4" t="n">
        <v>12000000</v>
      </c>
      <c r="L148" s="4" t="n">
        <v>6000000</v>
      </c>
      <c r="M148" s="2" t="inlineStr">
        <is>
          <t>EUR</t>
        </is>
      </c>
      <c r="N148" s="2" t="n">
        <v>2</v>
      </c>
      <c r="O148" s="3" t="inlineStr">
        <is>
          <t>Bassa – 2 progetti finanziabili (stima: tasso storico non disponibile)</t>
        </is>
      </c>
      <c r="P148" s="3" t="inlineStr">
        <is>
          <t>100% – finanziato per intero</t>
        </is>
      </c>
      <c r="Q148" s="5" t="n">
        <v>46653</v>
      </c>
      <c r="R148" s="6">
        <f>IF(Q148="","",Q148-TODAY())</f>
        <v/>
      </c>
      <c r="S148" s="5" t="n">
        <v>46497</v>
      </c>
      <c r="T148" s="2" t="n"/>
      <c r="U148" s="2" t="inlineStr">
        <is>
          <t>Ricerca</t>
        </is>
      </c>
      <c r="V148" s="3" t="n"/>
      <c r="W148" s="3" t="inlineStr">
        <is>
          <t>Consorzio: min. 3 enti indipendenti da 3 paesi UE/associati (regola standard, verificare il topic)</t>
        </is>
      </c>
      <c r="X148" s="2" t="inlineStr">
        <is>
          <t>Stati membri UE e paesi associati (altri paesi secondo le condizioni del topic)</t>
        </is>
      </c>
      <c r="Y148" s="2" t="inlineStr">
        <is>
          <t>Inglese</t>
        </is>
      </c>
      <c r="Z148" s="7" t="inlineStr">
        <is>
          <t>https://ec.europa.eu/info/funding-tenders/opportunities/portal/screen/opportunities/topic-details/HORIZON-CL6-2027-02-FARM2FORK-01</t>
        </is>
      </c>
      <c r="AA148" s="3" t="n"/>
      <c r="AB148" s="2" t="inlineStr">
        <is>
          <t>In apertura</t>
        </is>
      </c>
      <c r="AC148" s="5" t="n">
        <v>46312</v>
      </c>
      <c r="AD148" s="5" t="n">
        <v>46312</v>
      </c>
      <c r="AE148" s="2" t="n"/>
    </row>
    <row r="149">
      <c r="A149" s="2" t="inlineStr">
        <is>
          <t>EU-HORIZON-CL6-2027-02-COMMUNITIES-02</t>
        </is>
      </c>
      <c r="B149" s="2" t="inlineStr">
        <is>
          <t>EU Funding &amp; Tenders Portal</t>
        </is>
      </c>
      <c r="C149" s="2" t="inlineStr">
        <is>
          <t>Horizon Europe – HORIZON Innovation Actions</t>
        </is>
      </c>
      <c r="D149" s="2" t="inlineStr">
        <is>
          <t>Commissione europea</t>
        </is>
      </c>
      <c r="E149" s="3" t="inlineStr">
        <is>
          <t>Empowering local urban food systems entrepreneurship and innovation</t>
        </is>
      </c>
      <c r="F149" s="3" t="inlineStr">
        <is>
          <t>Empowering local urban food systems entrepreneurship and innovation</t>
        </is>
      </c>
      <c r="G149" s="2" t="inlineStr">
        <is>
          <t>Riabilitazione</t>
        </is>
      </c>
      <c r="H149" s="2" t="inlineStr">
        <is>
          <t>disabilit</t>
        </is>
      </c>
      <c r="I149" s="2" t="inlineStr">
        <is>
          <t>Non analizzato</t>
        </is>
      </c>
      <c r="J149" s="3" t="n"/>
      <c r="K149" s="4" t="n">
        <v>12000000</v>
      </c>
      <c r="L149" s="4" t="n">
        <v>6000000</v>
      </c>
      <c r="M149" s="2" t="inlineStr">
        <is>
          <t>EUR</t>
        </is>
      </c>
      <c r="N149" s="2" t="n">
        <v>2</v>
      </c>
      <c r="O149" s="3" t="inlineStr">
        <is>
          <t>Bassa – 2 progetti finanziabili (stima: tasso storico non disponibile)</t>
        </is>
      </c>
      <c r="P149" s="3" t="inlineStr">
        <is>
          <t>70% per le imprese, 100% per gli enti non profit</t>
        </is>
      </c>
      <c r="Q149" s="5" t="n">
        <v>46653</v>
      </c>
      <c r="R149" s="6">
        <f>IF(Q149="","",Q149-TODAY())</f>
        <v/>
      </c>
      <c r="S149" s="5" t="n">
        <v>46497</v>
      </c>
      <c r="T149" s="2" t="n"/>
      <c r="U149" s="2" t="inlineStr">
        <is>
          <t>Innovazione</t>
        </is>
      </c>
      <c r="V149" s="3" t="n"/>
      <c r="W149" s="3" t="inlineStr">
        <is>
          <t>Consorzio: min. 3 enti indipendenti da 3 paesi UE/associati (regola standard, verificare il topic)</t>
        </is>
      </c>
      <c r="X149" s="2" t="inlineStr">
        <is>
          <t>Stati membri UE e paesi associati (altri paesi secondo le condizioni del topic)</t>
        </is>
      </c>
      <c r="Y149" s="2" t="inlineStr">
        <is>
          <t>Inglese</t>
        </is>
      </c>
      <c r="Z149" s="7" t="inlineStr">
        <is>
          <t>https://ec.europa.eu/info/funding-tenders/opportunities/portal/screen/opportunities/topic-details/HORIZON-CL6-2027-02-COMMUNITIES-02</t>
        </is>
      </c>
      <c r="AA149" s="3" t="n"/>
      <c r="AB149" s="2" t="inlineStr">
        <is>
          <t>In apertura</t>
        </is>
      </c>
      <c r="AC149" s="5" t="n">
        <v>46312</v>
      </c>
      <c r="AD149" s="5" t="n">
        <v>46312</v>
      </c>
      <c r="AE149" s="2" t="n"/>
    </row>
    <row r="150">
      <c r="A150" s="2" t="inlineStr">
        <is>
          <t>EU-HORIZON-CL2-2027-01-TRANSFO-08</t>
        </is>
      </c>
      <c r="B150" s="2" t="inlineStr">
        <is>
          <t>EU Funding &amp; Tenders Portal</t>
        </is>
      </c>
      <c r="C150" s="2" t="inlineStr">
        <is>
          <t>Horizon Europe – HORIZON Innovation Actions</t>
        </is>
      </c>
      <c r="D150" s="2" t="inlineStr">
        <is>
          <t>Commissione europea</t>
        </is>
      </c>
      <c r="E150" s="3" t="inlineStr">
        <is>
          <t>Scaling and deploying innovations in migration management</t>
        </is>
      </c>
      <c r="F150" s="3" t="inlineStr">
        <is>
          <t>Scaling and deploying innovations in migration management</t>
        </is>
      </c>
      <c r="G150" s="2" t="inlineStr">
        <is>
          <t>Invecchiamento</t>
        </is>
      </c>
      <c r="H150" s="2" t="inlineStr">
        <is>
          <t>aging</t>
        </is>
      </c>
      <c r="I150" s="2" t="inlineStr">
        <is>
          <t>Non analizzato</t>
        </is>
      </c>
      <c r="J150" s="3" t="n"/>
      <c r="K150" s="4" t="n">
        <v>15000000</v>
      </c>
      <c r="L150" s="4" t="n">
        <v>3750000</v>
      </c>
      <c r="M150" s="2" t="inlineStr">
        <is>
          <t>EUR</t>
        </is>
      </c>
      <c r="N150" s="2" t="n">
        <v>4</v>
      </c>
      <c r="O150" s="3" t="inlineStr">
        <is>
          <t>Bassa – 4 progetti finanziabili (stima: tasso storico non disponibile)</t>
        </is>
      </c>
      <c r="P150" s="3" t="inlineStr">
        <is>
          <t>70% per le imprese, 100% per gli enti non profit</t>
        </is>
      </c>
      <c r="Q150" s="5" t="n">
        <v>46653</v>
      </c>
      <c r="R150" s="6">
        <f>IF(Q150="","",Q150-TODAY())</f>
        <v/>
      </c>
      <c r="S150" s="5" t="n">
        <v>46520</v>
      </c>
      <c r="T150" s="2" t="n"/>
      <c r="U150" s="2" t="inlineStr">
        <is>
          <t>Innovazione</t>
        </is>
      </c>
      <c r="V150" s="3" t="n"/>
      <c r="W150" s="3" t="inlineStr">
        <is>
          <t>Consorzio: min. 3 enti indipendenti da 3 paesi UE/associati (regola standard, verificare il topic)</t>
        </is>
      </c>
      <c r="X150" s="2" t="inlineStr">
        <is>
          <t>Stati membri UE e paesi associati (altri paesi secondo le condizioni del topic)</t>
        </is>
      </c>
      <c r="Y150" s="2" t="inlineStr">
        <is>
          <t>Inglese</t>
        </is>
      </c>
      <c r="Z150" s="7" t="inlineStr">
        <is>
          <t>https://ec.europa.eu/info/funding-tenders/opportunities/portal/screen/opportunities/topic-details/HORIZON-CL2-2027-01-TRANSFO-08</t>
        </is>
      </c>
      <c r="AA150" s="3" t="n"/>
      <c r="AB150" s="2" t="inlineStr">
        <is>
          <t>In apertura</t>
        </is>
      </c>
      <c r="AC150" s="5" t="n">
        <v>46312</v>
      </c>
      <c r="AD150" s="5" t="n">
        <v>46312</v>
      </c>
      <c r="AE150" s="2" t="n"/>
    </row>
    <row r="151">
      <c r="A151" s="2" t="inlineStr">
        <is>
          <t>EU-HORIZON-CL2-2027-01-DEMOCRACY-02</t>
        </is>
      </c>
      <c r="B151" s="2" t="inlineStr">
        <is>
          <t>EU Funding &amp; Tenders Portal</t>
        </is>
      </c>
      <c r="C151" s="2" t="inlineStr">
        <is>
          <t>Horizon Europe – HORIZON  Research and Innovation Actions</t>
        </is>
      </c>
      <c r="D151" s="2" t="inlineStr">
        <is>
          <t>Commissione europea</t>
        </is>
      </c>
      <c r="E151" s="3" t="inlineStr">
        <is>
          <t>Women’s, LGBTIQ and minority rights in a context of autocracy, conflict and geopolitical shifts</t>
        </is>
      </c>
      <c r="F151" s="3" t="inlineStr">
        <is>
          <t>Women’s, LGBTIQ and minority rights in a context of autocracy, conflict and geopolitical shifts</t>
        </is>
      </c>
      <c r="G151" s="2" t="inlineStr">
        <is>
          <t>Invecchiamento</t>
        </is>
      </c>
      <c r="H151" s="2" t="inlineStr">
        <is>
          <t>elderly, ageing, persons with disabilities</t>
        </is>
      </c>
      <c r="I151" s="2" t="inlineStr">
        <is>
          <t>Non analizzato</t>
        </is>
      </c>
      <c r="J151" s="3" t="n"/>
      <c r="K151" s="4" t="n">
        <v>12000000</v>
      </c>
      <c r="L151" s="4" t="n">
        <v>4000000</v>
      </c>
      <c r="M151" s="2" t="inlineStr">
        <is>
          <t>EUR</t>
        </is>
      </c>
      <c r="N151" s="2" t="n">
        <v>3</v>
      </c>
      <c r="O151" s="3" t="inlineStr">
        <is>
          <t>Bassa – 3 progetti finanziabili (stima: tasso storico non disponibile)</t>
        </is>
      </c>
      <c r="P151" s="3" t="inlineStr">
        <is>
          <t>100% – finanziato per intero</t>
        </is>
      </c>
      <c r="Q151" s="5" t="n">
        <v>46653</v>
      </c>
      <c r="R151" s="6">
        <f>IF(Q151="","",Q151-TODAY())</f>
        <v/>
      </c>
      <c r="S151" s="5" t="n">
        <v>46520</v>
      </c>
      <c r="T151" s="2" t="n"/>
      <c r="U151" s="2" t="inlineStr">
        <is>
          <t>Ricerca</t>
        </is>
      </c>
      <c r="V151" s="3" t="n"/>
      <c r="W151" s="3" t="inlineStr">
        <is>
          <t>Consorzio: min. 3 enti indipendenti da 3 paesi UE/associati (regola standard, verificare il topic)</t>
        </is>
      </c>
      <c r="X151" s="2" t="inlineStr">
        <is>
          <t>Stati membri UE e paesi associati (altri paesi secondo le condizioni del topic)</t>
        </is>
      </c>
      <c r="Y151" s="2" t="inlineStr">
        <is>
          <t>Inglese</t>
        </is>
      </c>
      <c r="Z151" s="7" t="inlineStr">
        <is>
          <t>https://ec.europa.eu/info/funding-tenders/opportunities/portal/screen/opportunities/topic-details/HORIZON-CL2-2027-01-DEMOCRACY-02</t>
        </is>
      </c>
      <c r="AA151" s="3" t="n"/>
      <c r="AB151" s="2" t="inlineStr">
        <is>
          <t>In apertura</t>
        </is>
      </c>
      <c r="AC151" s="5" t="n">
        <v>46312</v>
      </c>
      <c r="AD151" s="5" t="n">
        <v>46312</v>
      </c>
      <c r="AE151" s="2" t="n"/>
    </row>
    <row r="152">
      <c r="A152" s="2" t="inlineStr">
        <is>
          <t>EU-HORIZON-CL2-2027-01-TRANSFO-05</t>
        </is>
      </c>
      <c r="B152" s="2" t="inlineStr">
        <is>
          <t>EU Funding &amp; Tenders Portal</t>
        </is>
      </c>
      <c r="C152" s="2" t="inlineStr">
        <is>
          <t>Horizon Europe – HORIZON  Research and Innovation Actions</t>
        </is>
      </c>
      <c r="D152" s="2" t="inlineStr">
        <is>
          <t>Commissione europea</t>
        </is>
      </c>
      <c r="E152" s="3" t="inlineStr">
        <is>
          <t>The effective use of artificial intelligence in learning environments in pre-primary and primary education</t>
        </is>
      </c>
      <c r="F152" s="3" t="inlineStr">
        <is>
          <t>The effective use of artificial intelligence in learning environments in pre-primary and primary education</t>
        </is>
      </c>
      <c r="G152" s="2" t="inlineStr">
        <is>
          <t>Tecnologie riabilitazione</t>
        </is>
      </c>
      <c r="H152" s="2" t="inlineStr">
        <is>
          <t>disabilit, robot</t>
        </is>
      </c>
      <c r="I152" s="2" t="inlineStr">
        <is>
          <t>Non analizzato</t>
        </is>
      </c>
      <c r="J152" s="3" t="n"/>
      <c r="K152" s="4" t="n">
        <v>12000000</v>
      </c>
      <c r="L152" s="4" t="n">
        <v>4000000</v>
      </c>
      <c r="M152" s="2" t="inlineStr">
        <is>
          <t>EUR</t>
        </is>
      </c>
      <c r="N152" s="2" t="n">
        <v>3</v>
      </c>
      <c r="O152" s="3" t="inlineStr">
        <is>
          <t>Bassa – 3 progetti finanziabili (stima: tasso storico non disponibile)</t>
        </is>
      </c>
      <c r="P152" s="3" t="inlineStr">
        <is>
          <t>100% – finanziato per intero</t>
        </is>
      </c>
      <c r="Q152" s="5" t="n">
        <v>46653</v>
      </c>
      <c r="R152" s="6">
        <f>IF(Q152="","",Q152-TODAY())</f>
        <v/>
      </c>
      <c r="S152" s="5" t="n">
        <v>46520</v>
      </c>
      <c r="T152" s="2" t="n"/>
      <c r="U152" s="2" t="inlineStr">
        <is>
          <t>Ricerca</t>
        </is>
      </c>
      <c r="V152" s="3" t="n"/>
      <c r="W152" s="3" t="inlineStr">
        <is>
          <t>Consorzio: min. 3 enti indipendenti da 3 paesi UE/associati (regola standard, verificare il topic)</t>
        </is>
      </c>
      <c r="X152" s="2" t="inlineStr">
        <is>
          <t>Stati membri UE e paesi associati (altri paesi secondo le condizioni del topic)</t>
        </is>
      </c>
      <c r="Y152" s="2" t="inlineStr">
        <is>
          <t>Inglese</t>
        </is>
      </c>
      <c r="Z152" s="7" t="inlineStr">
        <is>
          <t>https://ec.europa.eu/info/funding-tenders/opportunities/portal/screen/opportunities/topic-details/HORIZON-CL2-2027-01-TRANSFO-05</t>
        </is>
      </c>
      <c r="AA152" s="3" t="n"/>
      <c r="AB152" s="2" t="inlineStr">
        <is>
          <t>In apertura</t>
        </is>
      </c>
      <c r="AC152" s="5" t="n">
        <v>46312</v>
      </c>
      <c r="AD152" s="5" t="n">
        <v>46312</v>
      </c>
      <c r="AE152" s="2" t="n"/>
    </row>
    <row r="153">
      <c r="A153" s="2" t="inlineStr">
        <is>
          <t>EU-HORIZON-CL2-2027-01-TRANSFO-07</t>
        </is>
      </c>
      <c r="B153" s="2" t="inlineStr">
        <is>
          <t>EU Funding &amp; Tenders Portal</t>
        </is>
      </c>
      <c r="C153" s="2" t="inlineStr">
        <is>
          <t>Horizon Europe – HORIZON  Research and Innovation Actions</t>
        </is>
      </c>
      <c r="D153" s="2" t="inlineStr">
        <is>
          <t>Commissione europea</t>
        </is>
      </c>
      <c r="E153" s="3" t="inlineStr">
        <is>
          <t>Persons with disabilities: opportunities for labour inclusion and social protection through the life course</t>
        </is>
      </c>
      <c r="F153" s="3" t="inlineStr">
        <is>
          <t>Persons with disabilities: opportunities for labour inclusion and social protection through the life course</t>
        </is>
      </c>
      <c r="G153" s="2" t="inlineStr">
        <is>
          <t>Tecnologie riabilitazione</t>
        </is>
      </c>
      <c r="H153" s="2" t="inlineStr">
        <is>
          <t>persons with disabilities, assistive technolog</t>
        </is>
      </c>
      <c r="I153" s="2" t="inlineStr">
        <is>
          <t>Non analizzato</t>
        </is>
      </c>
      <c r="J153" s="3" t="n"/>
      <c r="K153" s="4" t="n">
        <v>12000000</v>
      </c>
      <c r="L153" s="4" t="n">
        <v>4000000</v>
      </c>
      <c r="M153" s="2" t="inlineStr">
        <is>
          <t>EUR</t>
        </is>
      </c>
      <c r="N153" s="2" t="n">
        <v>3</v>
      </c>
      <c r="O153" s="3" t="inlineStr">
        <is>
          <t>Bassa – 3 progetti finanziabili (stima: tasso storico non disponibile)</t>
        </is>
      </c>
      <c r="P153" s="3" t="inlineStr">
        <is>
          <t>100% – finanziato per intero</t>
        </is>
      </c>
      <c r="Q153" s="5" t="n">
        <v>46653</v>
      </c>
      <c r="R153" s="6">
        <f>IF(Q153="","",Q153-TODAY())</f>
        <v/>
      </c>
      <c r="S153" s="5" t="n">
        <v>46520</v>
      </c>
      <c r="T153" s="2" t="n"/>
      <c r="U153" s="2" t="inlineStr">
        <is>
          <t>Ricerca</t>
        </is>
      </c>
      <c r="V153" s="3" t="n"/>
      <c r="W153" s="3" t="inlineStr">
        <is>
          <t>Consorzio: min. 3 enti indipendenti da 3 paesi UE/associati (regola standard, verificare il topic)</t>
        </is>
      </c>
      <c r="X153" s="2" t="inlineStr">
        <is>
          <t>Stati membri UE e paesi associati (altri paesi secondo le condizioni del topic)</t>
        </is>
      </c>
      <c r="Y153" s="2" t="inlineStr">
        <is>
          <t>Inglese</t>
        </is>
      </c>
      <c r="Z153" s="7" t="inlineStr">
        <is>
          <t>https://ec.europa.eu/info/funding-tenders/opportunities/portal/screen/opportunities/topic-details/HORIZON-CL2-2027-01-TRANSFO-07</t>
        </is>
      </c>
      <c r="AA153" s="3" t="n"/>
      <c r="AB153" s="2" t="inlineStr">
        <is>
          <t>In apertura</t>
        </is>
      </c>
      <c r="AC153" s="5" t="n">
        <v>46312</v>
      </c>
      <c r="AD153" s="5" t="n">
        <v>46312</v>
      </c>
      <c r="AE153" s="2" t="n"/>
    </row>
    <row r="154">
      <c r="A154" s="2" t="inlineStr">
        <is>
          <t>EU-HORIZON-CL2-2027-01-DEMOCRACY-04</t>
        </is>
      </c>
      <c r="B154" s="2" t="inlineStr">
        <is>
          <t>EU Funding &amp; Tenders Portal</t>
        </is>
      </c>
      <c r="C154" s="2" t="inlineStr">
        <is>
          <t>Horizon Europe – HORIZON  Research and Innovation Actions</t>
        </is>
      </c>
      <c r="D154" s="2" t="inlineStr">
        <is>
          <t>Commissione europea</t>
        </is>
      </c>
      <c r="E154" s="3" t="inlineStr">
        <is>
          <t>Addressing the impact of artificial intelligence, cyberviolence, and deepfakes on equality, democracy and inclusive societies</t>
        </is>
      </c>
      <c r="F154" s="3" t="inlineStr">
        <is>
          <t>Addressing the impact of artificial intelligence, cyberviolence, and deepfakes on equality, democracy and inclusive societies</t>
        </is>
      </c>
      <c r="G154" s="2" t="inlineStr">
        <is>
          <t>Invecchiamento</t>
        </is>
      </c>
      <c r="H154" s="2" t="inlineStr">
        <is>
          <t>older persons, disabilit</t>
        </is>
      </c>
      <c r="I154" s="2" t="inlineStr">
        <is>
          <t>Non analizzato</t>
        </is>
      </c>
      <c r="J154" s="3" t="n"/>
      <c r="K154" s="4" t="n">
        <v>20000000</v>
      </c>
      <c r="L154" s="4" t="n">
        <v>4000000</v>
      </c>
      <c r="M154" s="2" t="inlineStr">
        <is>
          <t>EUR</t>
        </is>
      </c>
      <c r="N154" s="2" t="n">
        <v>5</v>
      </c>
      <c r="O154" s="3" t="inlineStr">
        <is>
          <t>Media – 5 progetti finanziabili (stima: tasso storico non disponibile)</t>
        </is>
      </c>
      <c r="P154" s="3" t="inlineStr">
        <is>
          <t>100% – finanziato per intero</t>
        </is>
      </c>
      <c r="Q154" s="5" t="n">
        <v>46653</v>
      </c>
      <c r="R154" s="6">
        <f>IF(Q154="","",Q154-TODAY())</f>
        <v/>
      </c>
      <c r="S154" s="5" t="n">
        <v>46520</v>
      </c>
      <c r="T154" s="2" t="n"/>
      <c r="U154" s="2" t="inlineStr">
        <is>
          <t>Ricerca</t>
        </is>
      </c>
      <c r="V154" s="3" t="n"/>
      <c r="W154" s="3" t="inlineStr">
        <is>
          <t>Consorzio: min. 3 enti indipendenti da 3 paesi UE/associati (regola standard, verificare il topic)</t>
        </is>
      </c>
      <c r="X154" s="2" t="inlineStr">
        <is>
          <t>Stati membri UE e paesi associati (altri paesi secondo le condizioni del topic)</t>
        </is>
      </c>
      <c r="Y154" s="2" t="inlineStr">
        <is>
          <t>Inglese</t>
        </is>
      </c>
      <c r="Z154" s="7" t="inlineStr">
        <is>
          <t>https://ec.europa.eu/info/funding-tenders/opportunities/portal/screen/opportunities/topic-details/HORIZON-CL2-2027-01-DEMOCRACY-04</t>
        </is>
      </c>
      <c r="AA154" s="3" t="n"/>
      <c r="AB154" s="2" t="inlineStr">
        <is>
          <t>In apertura</t>
        </is>
      </c>
      <c r="AC154" s="5" t="n">
        <v>46312</v>
      </c>
      <c r="AD154" s="5" t="n">
        <v>46312</v>
      </c>
      <c r="AE154" s="2" t="n"/>
    </row>
    <row r="155">
      <c r="A155" s="2" t="inlineStr">
        <is>
          <t>EU-HORIZON-CL2-2027-01-TRANSFO-02</t>
        </is>
      </c>
      <c r="B155" s="2" t="inlineStr">
        <is>
          <t>EU Funding &amp; Tenders Portal</t>
        </is>
      </c>
      <c r="C155" s="2" t="inlineStr">
        <is>
          <t>Horizon Europe – HORIZON  Research and Innovation Actions</t>
        </is>
      </c>
      <c r="D155" s="2" t="inlineStr">
        <is>
          <t>Commissione europea</t>
        </is>
      </c>
      <c r="E155" s="3" t="inlineStr">
        <is>
          <t>Impact of in-kind benefits on income distribution and on vulnerable populations</t>
        </is>
      </c>
      <c r="F155" s="3" t="inlineStr">
        <is>
          <t>Impact of in-kind benefits on income distribution and on vulnerable populations</t>
        </is>
      </c>
      <c r="G155" s="2" t="inlineStr">
        <is>
          <t>Invecchiamento</t>
        </is>
      </c>
      <c r="H155" s="2" t="inlineStr">
        <is>
          <t>ageing</t>
        </is>
      </c>
      <c r="I155" s="2" t="inlineStr">
        <is>
          <t>Non analizzato</t>
        </is>
      </c>
      <c r="J155" s="3" t="n"/>
      <c r="K155" s="4" t="n">
        <v>10000000</v>
      </c>
      <c r="L155" s="4" t="n">
        <v>3300000</v>
      </c>
      <c r="M155" s="2" t="inlineStr">
        <is>
          <t>EUR</t>
        </is>
      </c>
      <c r="N155" s="2" t="n">
        <v>3</v>
      </c>
      <c r="O155" s="3" t="inlineStr">
        <is>
          <t>Bassa – 3 progetti finanziabili (stima: tasso storico non disponibile)</t>
        </is>
      </c>
      <c r="P155" s="3" t="inlineStr">
        <is>
          <t>100% – finanziato per intero</t>
        </is>
      </c>
      <c r="Q155" s="5" t="n">
        <v>46653</v>
      </c>
      <c r="R155" s="6">
        <f>IF(Q155="","",Q155-TODAY())</f>
        <v/>
      </c>
      <c r="S155" s="5" t="n">
        <v>46520</v>
      </c>
      <c r="T155" s="2" t="n"/>
      <c r="U155" s="2" t="inlineStr">
        <is>
          <t>Ricerca</t>
        </is>
      </c>
      <c r="V155" s="3" t="n"/>
      <c r="W155" s="3" t="inlineStr">
        <is>
          <t>Consorzio: min. 3 enti indipendenti da 3 paesi UE/associati (regola standard, verificare il topic)</t>
        </is>
      </c>
      <c r="X155" s="2" t="inlineStr">
        <is>
          <t>Stati membri UE e paesi associati (altri paesi secondo le condizioni del topic)</t>
        </is>
      </c>
      <c r="Y155" s="2" t="inlineStr">
        <is>
          <t>Inglese</t>
        </is>
      </c>
      <c r="Z155" s="7" t="inlineStr">
        <is>
          <t>https://ec.europa.eu/info/funding-tenders/opportunities/portal/screen/opportunities/topic-details/HORIZON-CL2-2027-01-TRANSFO-02</t>
        </is>
      </c>
      <c r="AA155" s="3" t="n"/>
      <c r="AB155" s="2" t="inlineStr">
        <is>
          <t>In apertura</t>
        </is>
      </c>
      <c r="AC155" s="5" t="n">
        <v>46312</v>
      </c>
      <c r="AD155" s="5" t="n">
        <v>46312</v>
      </c>
      <c r="AE155" s="2" t="n"/>
    </row>
    <row r="156">
      <c r="A156" s="2" t="inlineStr">
        <is>
          <t>EU-HORIZON-CL2-2027-01-HERITAGE-07</t>
        </is>
      </c>
      <c r="B156" s="2" t="inlineStr">
        <is>
          <t>EU Funding &amp; Tenders Portal</t>
        </is>
      </c>
      <c r="C156" s="2" t="inlineStr">
        <is>
          <t>Horizon Europe – HORIZON  Research and Innovation Actions</t>
        </is>
      </c>
      <c r="D156" s="2" t="inlineStr">
        <is>
          <t>Commissione europea</t>
        </is>
      </c>
      <c r="E156" s="3" t="inlineStr">
        <is>
          <t>Societal impact of cultural heritage</t>
        </is>
      </c>
      <c r="F156" s="3" t="inlineStr">
        <is>
          <t>Societal impact of cultural heritage</t>
        </is>
      </c>
      <c r="G156" s="2" t="inlineStr">
        <is>
          <t>Riabilitazione</t>
        </is>
      </c>
      <c r="H156" s="2" t="inlineStr">
        <is>
          <t>disabilit</t>
        </is>
      </c>
      <c r="I156" s="2" t="inlineStr">
        <is>
          <t>Non analizzato</t>
        </is>
      </c>
      <c r="J156" s="3" t="n"/>
      <c r="K156" s="4" t="n">
        <v>15000000</v>
      </c>
      <c r="L156" s="4" t="n">
        <v>3000000</v>
      </c>
      <c r="M156" s="2" t="inlineStr">
        <is>
          <t>EUR</t>
        </is>
      </c>
      <c r="N156" s="2" t="n">
        <v>5</v>
      </c>
      <c r="O156" s="3" t="inlineStr">
        <is>
          <t>Media – 5 progetti finanziabili (stima: tasso storico non disponibile)</t>
        </is>
      </c>
      <c r="P156" s="3" t="inlineStr">
        <is>
          <t>100% – finanziato per intero</t>
        </is>
      </c>
      <c r="Q156" s="5" t="n">
        <v>46653</v>
      </c>
      <c r="R156" s="6">
        <f>IF(Q156="","",Q156-TODAY())</f>
        <v/>
      </c>
      <c r="S156" s="5" t="n">
        <v>46520</v>
      </c>
      <c r="T156" s="2" t="n"/>
      <c r="U156" s="2" t="inlineStr">
        <is>
          <t>Ricerca</t>
        </is>
      </c>
      <c r="V156" s="3" t="n"/>
      <c r="W156" s="3" t="inlineStr">
        <is>
          <t>Consorzio: min. 3 enti indipendenti da 3 paesi UE/associati (regola standard, verificare il topic)</t>
        </is>
      </c>
      <c r="X156" s="2" t="inlineStr">
        <is>
          <t>Stati membri UE e paesi associati (altri paesi secondo le condizioni del topic)</t>
        </is>
      </c>
      <c r="Y156" s="2" t="inlineStr">
        <is>
          <t>Inglese</t>
        </is>
      </c>
      <c r="Z156" s="7" t="inlineStr">
        <is>
          <t>https://ec.europa.eu/info/funding-tenders/opportunities/portal/screen/opportunities/topic-details/HORIZON-CL2-2027-01-HERITAGE-07</t>
        </is>
      </c>
      <c r="AA156" s="3" t="n"/>
      <c r="AB156" s="2" t="inlineStr">
        <is>
          <t>In apertura</t>
        </is>
      </c>
      <c r="AC156" s="5" t="n">
        <v>46312</v>
      </c>
      <c r="AD156" s="5" t="n">
        <v>46312</v>
      </c>
      <c r="AE156" s="2" t="n"/>
    </row>
    <row r="157">
      <c r="A157" s="2" t="inlineStr">
        <is>
          <t>EU-HORIZON-CL2-2027-01-DEMOCRACY-08</t>
        </is>
      </c>
      <c r="B157" s="2" t="inlineStr">
        <is>
          <t>EU Funding &amp; Tenders Portal</t>
        </is>
      </c>
      <c r="C157" s="2" t="inlineStr">
        <is>
          <t>Horizon Europe – HORIZON  Research and Innovation Actions</t>
        </is>
      </c>
      <c r="D157" s="2" t="inlineStr">
        <is>
          <t>Commissione europea</t>
        </is>
      </c>
      <c r="E157" s="3" t="inlineStr">
        <is>
          <t>Global Human Rights and EU values</t>
        </is>
      </c>
      <c r="F157" s="3" t="inlineStr">
        <is>
          <t>Global Human Rights and EU values</t>
        </is>
      </c>
      <c r="G157" s="2" t="inlineStr">
        <is>
          <t>Invecchiamento</t>
        </is>
      </c>
      <c r="H157" s="2" t="inlineStr">
        <is>
          <t>elderly, disabilit</t>
        </is>
      </c>
      <c r="I157" s="2" t="inlineStr">
        <is>
          <t>Non analizzato</t>
        </is>
      </c>
      <c r="J157" s="3" t="n"/>
      <c r="K157" s="4" t="n">
        <v>12000000</v>
      </c>
      <c r="L157" s="4" t="n">
        <v>4000000</v>
      </c>
      <c r="M157" s="2" t="inlineStr">
        <is>
          <t>EUR</t>
        </is>
      </c>
      <c r="N157" s="2" t="n">
        <v>3</v>
      </c>
      <c r="O157" s="3" t="inlineStr">
        <is>
          <t>Bassa – 3 progetti finanziabili (stima: tasso storico non disponibile)</t>
        </is>
      </c>
      <c r="P157" s="3" t="inlineStr">
        <is>
          <t>100% – finanziato per intero</t>
        </is>
      </c>
      <c r="Q157" s="5" t="n">
        <v>46653</v>
      </c>
      <c r="R157" s="6">
        <f>IF(Q157="","",Q157-TODAY())</f>
        <v/>
      </c>
      <c r="S157" s="5" t="n">
        <v>46520</v>
      </c>
      <c r="T157" s="2" t="n"/>
      <c r="U157" s="2" t="inlineStr">
        <is>
          <t>Ricerca</t>
        </is>
      </c>
      <c r="V157" s="3" t="n"/>
      <c r="W157" s="3" t="inlineStr">
        <is>
          <t>Consorzio: min. 3 enti indipendenti da 3 paesi UE/associati (regola standard, verificare il topic)</t>
        </is>
      </c>
      <c r="X157" s="2" t="inlineStr">
        <is>
          <t>Stati membri UE e paesi associati (altri paesi secondo le condizioni del topic)</t>
        </is>
      </c>
      <c r="Y157" s="2" t="inlineStr">
        <is>
          <t>Inglese</t>
        </is>
      </c>
      <c r="Z157" s="7" t="inlineStr">
        <is>
          <t>https://ec.europa.eu/info/funding-tenders/opportunities/portal/screen/opportunities/topic-details/HORIZON-CL2-2027-01-DEMOCRACY-08</t>
        </is>
      </c>
      <c r="AA157" s="3" t="n"/>
      <c r="AB157" s="2" t="inlineStr">
        <is>
          <t>In apertura</t>
        </is>
      </c>
      <c r="AC157" s="5" t="n">
        <v>46312</v>
      </c>
      <c r="AD157" s="5" t="n">
        <v>46312</v>
      </c>
      <c r="AE157" s="2" t="n"/>
    </row>
    <row r="158">
      <c r="A158" s="2" t="inlineStr">
        <is>
          <t>EU-HORIZON-MISS-2027-04-CIT-03</t>
        </is>
      </c>
      <c r="B158" s="2" t="inlineStr">
        <is>
          <t>EU Funding &amp; Tenders Portal</t>
        </is>
      </c>
      <c r="C158" s="2" t="inlineStr">
        <is>
          <t>Horizon Europe – HORIZON Innovation Actions</t>
        </is>
      </c>
      <c r="D158" s="2" t="inlineStr">
        <is>
          <t>Commissione europea</t>
        </is>
      </c>
      <c r="E158" s="3" t="inlineStr">
        <is>
          <t>Inclusive and climate resilient multimodal passenger hubs enhancing modal shift towards sustainable transport and shared mobility</t>
        </is>
      </c>
      <c r="F158" s="3" t="inlineStr">
        <is>
          <t>Inclusive and climate resilient multimodal passenger hubs enhancing modal shift towards sustainable transport and shared mobility</t>
        </is>
      </c>
      <c r="G158" s="2" t="inlineStr">
        <is>
          <t>Riabilitazione</t>
        </is>
      </c>
      <c r="H158" s="2" t="inlineStr">
        <is>
          <t>disabilit</t>
        </is>
      </c>
      <c r="I158" s="2" t="inlineStr">
        <is>
          <t>Non analizzato</t>
        </is>
      </c>
      <c r="J158" s="3" t="n"/>
      <c r="K158" s="4" t="n">
        <v>18000000</v>
      </c>
      <c r="L158" s="4" t="n">
        <v>9000000</v>
      </c>
      <c r="M158" s="2" t="inlineStr">
        <is>
          <t>EUR</t>
        </is>
      </c>
      <c r="N158" s="2" t="n">
        <v>2</v>
      </c>
      <c r="O158" s="3" t="inlineStr">
        <is>
          <t>Bassa – 2 progetti finanziabili (stima: tasso storico non disponibile)</t>
        </is>
      </c>
      <c r="P158" s="3" t="inlineStr">
        <is>
          <t>70% per le imprese, 100% per gli enti non profit</t>
        </is>
      </c>
      <c r="Q158" s="5" t="n">
        <v>46667</v>
      </c>
      <c r="R158" s="6">
        <f>IF(Q158="","",Q158-TODAY())</f>
        <v/>
      </c>
      <c r="S158" s="5" t="n">
        <v>46427</v>
      </c>
      <c r="T158" s="2" t="n"/>
      <c r="U158" s="2" t="inlineStr">
        <is>
          <t>Innovazione</t>
        </is>
      </c>
      <c r="V158" s="3" t="n"/>
      <c r="W158" s="3" t="inlineStr">
        <is>
          <t>Consorzio: min. 3 enti indipendenti da 3 paesi UE/associati (regola standard, verificare il topic)</t>
        </is>
      </c>
      <c r="X158" s="2" t="inlineStr">
        <is>
          <t>Stati membri UE e paesi associati (altri paesi secondo le condizioni del topic)</t>
        </is>
      </c>
      <c r="Y158" s="2" t="inlineStr">
        <is>
          <t>Inglese</t>
        </is>
      </c>
      <c r="Z158" s="7" t="inlineStr">
        <is>
          <t>https://ec.europa.eu/info/funding-tenders/opportunities/portal/screen/opportunities/topic-details/HORIZON-MISS-2027-04-CIT-03</t>
        </is>
      </c>
      <c r="AA158" s="3" t="n"/>
      <c r="AB158" s="2" t="inlineStr">
        <is>
          <t>In apertura</t>
        </is>
      </c>
      <c r="AC158" s="5" t="n">
        <v>46312</v>
      </c>
      <c r="AD158" s="5" t="n">
        <v>46312</v>
      </c>
      <c r="AE158" s="2" t="n"/>
    </row>
    <row r="159">
      <c r="A159" s="2" t="inlineStr">
        <is>
          <t>EU-HORIZON-CL3-2027-01-INFRA-01</t>
        </is>
      </c>
      <c r="B159" s="2" t="inlineStr">
        <is>
          <t>EU Funding &amp; Tenders Portal</t>
        </is>
      </c>
      <c r="C159" s="2" t="inlineStr">
        <is>
          <t>Horizon Europe – HORIZON Innovation Actions</t>
        </is>
      </c>
      <c r="D159" s="2" t="inlineStr">
        <is>
          <t>Commissione europea</t>
        </is>
      </c>
      <c r="E159" s="3" t="inlineStr">
        <is>
          <t>Enhancing physical protection of critical infrastructures</t>
        </is>
      </c>
      <c r="F159" s="3" t="inlineStr">
        <is>
          <t>Enhancing physical protection of critical infrastructures</t>
        </is>
      </c>
      <c r="G159" s="2" t="inlineStr">
        <is>
          <t>Tecnologie riabilitazione</t>
        </is>
      </c>
      <c r="H159" s="2" t="inlineStr">
        <is>
          <t>robot</t>
        </is>
      </c>
      <c r="I159" s="2" t="inlineStr">
        <is>
          <t>Non analizzato</t>
        </is>
      </c>
      <c r="J159" s="3" t="n"/>
      <c r="K159" s="4" t="n">
        <v>12000000</v>
      </c>
      <c r="L159" s="4" t="n">
        <v>6000000</v>
      </c>
      <c r="M159" s="2" t="inlineStr">
        <is>
          <t>EUR</t>
        </is>
      </c>
      <c r="N159" s="2" t="n">
        <v>2</v>
      </c>
      <c r="O159" s="3" t="inlineStr">
        <is>
          <t>Bassa – 2 progetti finanziabili (stima: tasso storico non disponibile)</t>
        </is>
      </c>
      <c r="P159" s="3" t="inlineStr">
        <is>
          <t>70% per le imprese, 100% per gli enti non profit</t>
        </is>
      </c>
      <c r="Q159" s="5" t="n">
        <v>46695</v>
      </c>
      <c r="R159" s="6">
        <f>IF(Q159="","",Q159-TODAY())</f>
        <v/>
      </c>
      <c r="S159" s="5" t="n">
        <v>46512</v>
      </c>
      <c r="T159" s="2" t="n"/>
      <c r="U159" s="2" t="inlineStr">
        <is>
          <t>Innovazione</t>
        </is>
      </c>
      <c r="V159" s="3" t="n"/>
      <c r="W159" s="3" t="inlineStr">
        <is>
          <t>Consorzio: min. 3 enti indipendenti da 3 paesi UE/associati (regola standard, verificare il topic)</t>
        </is>
      </c>
      <c r="X159" s="2" t="inlineStr">
        <is>
          <t>Stati membri UE e paesi associati (altri paesi secondo le condizioni del topic)</t>
        </is>
      </c>
      <c r="Y159" s="2" t="inlineStr">
        <is>
          <t>Inglese</t>
        </is>
      </c>
      <c r="Z159" s="7" t="inlineStr">
        <is>
          <t>https://ec.europa.eu/info/funding-tenders/opportunities/portal/screen/opportunities/topic-details/HORIZON-CL3-2027-01-INFRA-01</t>
        </is>
      </c>
      <c r="AA159" s="3" t="n"/>
      <c r="AB159" s="2" t="inlineStr">
        <is>
          <t>In apertura</t>
        </is>
      </c>
      <c r="AC159" s="5" t="n">
        <v>46312</v>
      </c>
      <c r="AD159" s="5" t="n">
        <v>46312</v>
      </c>
      <c r="AE159" s="2" t="n"/>
    </row>
    <row r="160">
      <c r="A160" s="2" t="inlineStr">
        <is>
          <t>EU-HORIZON-CL3-2027-01-DRS-02</t>
        </is>
      </c>
      <c r="B160" s="2" t="inlineStr">
        <is>
          <t>EU Funding &amp; Tenders Portal</t>
        </is>
      </c>
      <c r="C160" s="2" t="inlineStr">
        <is>
          <t>Horizon Europe – HORIZON  Research and Innovation Actions</t>
        </is>
      </c>
      <c r="D160" s="2" t="inlineStr">
        <is>
          <t>Commissione europea</t>
        </is>
      </c>
      <c r="E160" s="3" t="inlineStr">
        <is>
          <t>Societal resilience, engagement of the younger generations and digital innovation for disaster resilience</t>
        </is>
      </c>
      <c r="F160" s="3" t="inlineStr">
        <is>
          <t>Societal resilience, engagement of the younger generations and digital innovation for disaster resilience</t>
        </is>
      </c>
      <c r="G160" s="2" t="inlineStr">
        <is>
          <t>Tecnologie riabilitazione</t>
        </is>
      </c>
      <c r="H160" s="2" t="inlineStr">
        <is>
          <t>serious game</t>
        </is>
      </c>
      <c r="I160" s="2" t="inlineStr">
        <is>
          <t>Non analizzato</t>
        </is>
      </c>
      <c r="J160" s="3" t="n"/>
      <c r="K160" s="4" t="n">
        <v>6000000</v>
      </c>
      <c r="L160" s="4" t="n">
        <v>3000000</v>
      </c>
      <c r="M160" s="2" t="inlineStr">
        <is>
          <t>EUR</t>
        </is>
      </c>
      <c r="N160" s="2" t="n">
        <v>2</v>
      </c>
      <c r="O160" s="3" t="inlineStr">
        <is>
          <t>Bassa – 2 progetti finanziabili (stima: tasso storico non disponibile)</t>
        </is>
      </c>
      <c r="P160" s="3" t="inlineStr">
        <is>
          <t>100% – finanziato per intero</t>
        </is>
      </c>
      <c r="Q160" s="5" t="n">
        <v>46695</v>
      </c>
      <c r="R160" s="6">
        <f>IF(Q160="","",Q160-TODAY())</f>
        <v/>
      </c>
      <c r="S160" s="5" t="n">
        <v>46512</v>
      </c>
      <c r="T160" s="2" t="n"/>
      <c r="U160" s="2" t="inlineStr">
        <is>
          <t>Ricerca</t>
        </is>
      </c>
      <c r="V160" s="3" t="n"/>
      <c r="W160" s="3" t="inlineStr">
        <is>
          <t>Consorzio: min. 3 enti indipendenti da 3 paesi UE/associati (regola standard, verificare il topic)</t>
        </is>
      </c>
      <c r="X160" s="2" t="inlineStr">
        <is>
          <t>Stati membri UE e paesi associati (altri paesi secondo le condizioni del topic)</t>
        </is>
      </c>
      <c r="Y160" s="2" t="inlineStr">
        <is>
          <t>Inglese</t>
        </is>
      </c>
      <c r="Z160" s="7" t="inlineStr">
        <is>
          <t>https://ec.europa.eu/info/funding-tenders/opportunities/portal/screen/opportunities/topic-details/HORIZON-CL3-2027-01-DRS-02</t>
        </is>
      </c>
      <c r="AA160" s="3" t="n"/>
      <c r="AB160" s="2" t="inlineStr">
        <is>
          <t>In apertura</t>
        </is>
      </c>
      <c r="AC160" s="5" t="n">
        <v>46312</v>
      </c>
      <c r="AD160" s="5" t="n">
        <v>46312</v>
      </c>
      <c r="AE160" s="2" t="n"/>
    </row>
    <row r="161">
      <c r="A161" s="2" t="inlineStr">
        <is>
          <t>EU-HORIZON-CL3-2027-01-FCT-02</t>
        </is>
      </c>
      <c r="B161" s="2" t="inlineStr">
        <is>
          <t>EU Funding &amp; Tenders Portal</t>
        </is>
      </c>
      <c r="C161" s="2" t="inlineStr">
        <is>
          <t>Horizon Europe – HORIZON Innovation Actions</t>
        </is>
      </c>
      <c r="D161" s="2" t="inlineStr">
        <is>
          <t>Commissione europea</t>
        </is>
      </c>
      <c r="E161" s="3" t="inlineStr">
        <is>
          <t>Community policing in diverse societies in Europe</t>
        </is>
      </c>
      <c r="F161" s="3" t="inlineStr">
        <is>
          <t>Community policing in diverse societies in Europe</t>
        </is>
      </c>
      <c r="G161" s="2" t="inlineStr">
        <is>
          <t>Riabilitazione</t>
        </is>
      </c>
      <c r="H161" s="2" t="inlineStr">
        <is>
          <t>persons with disabilities</t>
        </is>
      </c>
      <c r="I161" s="2" t="inlineStr">
        <is>
          <t>Non analizzato</t>
        </is>
      </c>
      <c r="J161" s="3" t="n"/>
      <c r="K161" s="4" t="n">
        <v>6000000</v>
      </c>
      <c r="L161" s="4" t="n">
        <v>3000000</v>
      </c>
      <c r="M161" s="2" t="inlineStr">
        <is>
          <t>EUR</t>
        </is>
      </c>
      <c r="N161" s="2" t="n">
        <v>2</v>
      </c>
      <c r="O161" s="3" t="inlineStr">
        <is>
          <t>Bassa – 2 progetti finanziabili (stima: tasso storico non disponibile)</t>
        </is>
      </c>
      <c r="P161" s="3" t="inlineStr">
        <is>
          <t>70% per le imprese, 100% per gli enti non profit</t>
        </is>
      </c>
      <c r="Q161" s="5" t="n">
        <v>46695</v>
      </c>
      <c r="R161" s="6">
        <f>IF(Q161="","",Q161-TODAY())</f>
        <v/>
      </c>
      <c r="S161" s="5" t="n">
        <v>46512</v>
      </c>
      <c r="T161" s="2" t="n"/>
      <c r="U161" s="2" t="inlineStr">
        <is>
          <t>Innovazione</t>
        </is>
      </c>
      <c r="V161" s="3" t="n"/>
      <c r="W161" s="3" t="inlineStr">
        <is>
          <t>Consorzio: min. 3 enti indipendenti da 3 paesi UE/associati (regola standard, verificare il topic)</t>
        </is>
      </c>
      <c r="X161" s="2" t="inlineStr">
        <is>
          <t>Stati membri UE e paesi associati (altri paesi secondo le condizioni del topic)</t>
        </is>
      </c>
      <c r="Y161" s="2" t="inlineStr">
        <is>
          <t>Inglese</t>
        </is>
      </c>
      <c r="Z161" s="7" t="inlineStr">
        <is>
          <t>https://ec.europa.eu/info/funding-tenders/opportunities/portal/screen/opportunities/topic-details/HORIZON-CL3-2027-01-FCT-02</t>
        </is>
      </c>
      <c r="AA161" s="3" t="n"/>
      <c r="AB161" s="2" t="inlineStr">
        <is>
          <t>In apertura</t>
        </is>
      </c>
      <c r="AC161" s="5" t="n">
        <v>46312</v>
      </c>
      <c r="AD161" s="5" t="n">
        <v>46312</v>
      </c>
      <c r="AE161" s="2" t="n"/>
    </row>
    <row r="162">
      <c r="A162" s="2" t="inlineStr">
        <is>
          <t>EU-HORIZON-CL3-2027-01-BM-01</t>
        </is>
      </c>
      <c r="B162" s="2" t="inlineStr">
        <is>
          <t>EU Funding &amp; Tenders Portal</t>
        </is>
      </c>
      <c r="C162" s="2" t="inlineStr">
        <is>
          <t>Horizon Europe – HORIZON  Research and Innovation Actions</t>
        </is>
      </c>
      <c r="D162" s="2" t="inlineStr">
        <is>
          <t>Commissione europea</t>
        </is>
      </c>
      <c r="E162" s="3" t="inlineStr">
        <is>
          <t>Open topic on research and innovation for effective management of EU external borders that promotes fundamental rights and EU values</t>
        </is>
      </c>
      <c r="F162" s="3" t="inlineStr">
        <is>
          <t>Open topic on research and innovation for effective management of EU external borders that promotes fundamental rights and EU values</t>
        </is>
      </c>
      <c r="G162" s="2" t="inlineStr">
        <is>
          <t>Riabilitazione</t>
        </is>
      </c>
      <c r="H162" s="2" t="inlineStr">
        <is>
          <t>disabilit</t>
        </is>
      </c>
      <c r="I162" s="2" t="inlineStr">
        <is>
          <t>Non analizzato</t>
        </is>
      </c>
      <c r="J162" s="3" t="n"/>
      <c r="K162" s="4" t="n">
        <v>8000000</v>
      </c>
      <c r="L162" s="4" t="n">
        <v>4000000</v>
      </c>
      <c r="M162" s="2" t="inlineStr">
        <is>
          <t>EUR</t>
        </is>
      </c>
      <c r="N162" s="2" t="n">
        <v>2</v>
      </c>
      <c r="O162" s="3" t="inlineStr">
        <is>
          <t>Bassa – 2 progetti finanziabili (stima: tasso storico non disponibile)</t>
        </is>
      </c>
      <c r="P162" s="3" t="inlineStr">
        <is>
          <t>100% – finanziato per intero</t>
        </is>
      </c>
      <c r="Q162" s="5" t="n">
        <v>46695</v>
      </c>
      <c r="R162" s="6">
        <f>IF(Q162="","",Q162-TODAY())</f>
        <v/>
      </c>
      <c r="S162" s="5" t="n">
        <v>46512</v>
      </c>
      <c r="T162" s="2" t="n"/>
      <c r="U162" s="2" t="inlineStr">
        <is>
          <t>Ricerca</t>
        </is>
      </c>
      <c r="V162" s="3" t="n"/>
      <c r="W162" s="3" t="inlineStr">
        <is>
          <t>Consorzio: min. 3 enti indipendenti da 3 paesi UE/associati (regola standard, verificare il topic)</t>
        </is>
      </c>
      <c r="X162" s="2" t="inlineStr">
        <is>
          <t>Stati membri UE e paesi associati (altri paesi secondo le condizioni del topic)</t>
        </is>
      </c>
      <c r="Y162" s="2" t="inlineStr">
        <is>
          <t>Inglese</t>
        </is>
      </c>
      <c r="Z162" s="7" t="inlineStr">
        <is>
          <t>https://ec.europa.eu/info/funding-tenders/opportunities/portal/screen/opportunities/topic-details/HORIZON-CL3-2027-01-BM-01</t>
        </is>
      </c>
      <c r="AA162" s="3" t="n"/>
      <c r="AB162" s="2" t="inlineStr">
        <is>
          <t>In apertura</t>
        </is>
      </c>
      <c r="AC162" s="5" t="n">
        <v>46312</v>
      </c>
      <c r="AD162" s="5" t="n">
        <v>46312</v>
      </c>
      <c r="AE162" s="2" t="n"/>
    </row>
    <row r="163">
      <c r="A163" s="2" t="inlineStr">
        <is>
          <t>EU-HORIZON-NEB-2027-01-PARTICIPATION-02</t>
        </is>
      </c>
      <c r="B163" s="2" t="inlineStr">
        <is>
          <t>EU Funding &amp; Tenders Portal</t>
        </is>
      </c>
      <c r="C163" s="2" t="inlineStr">
        <is>
          <t>Horizon Europe – HORIZON Innovation Actions</t>
        </is>
      </c>
      <c r="D163" s="2" t="inlineStr">
        <is>
          <t>Commissione europea</t>
        </is>
      </c>
      <c r="E163" s="3" t="inlineStr">
        <is>
          <t>Intergenerational neighbourhoods and communities aligned with the New European Bauhaus</t>
        </is>
      </c>
      <c r="F163" s="3" t="inlineStr">
        <is>
          <t>Intergenerational neighbourhoods and communities aligned with the New European Bauhaus</t>
        </is>
      </c>
      <c r="G163" s="2" t="inlineStr">
        <is>
          <t>Invecchiamento</t>
        </is>
      </c>
      <c r="H163" s="2" t="inlineStr">
        <is>
          <t>older adults, ageing</t>
        </is>
      </c>
      <c r="I163" s="2" t="inlineStr">
        <is>
          <t>Non analizzato</t>
        </is>
      </c>
      <c r="J163" s="3" t="n"/>
      <c r="K163" s="4" t="n">
        <v>10500000</v>
      </c>
      <c r="L163" s="4" t="n">
        <v>5250000</v>
      </c>
      <c r="M163" s="2" t="inlineStr">
        <is>
          <t>EUR</t>
        </is>
      </c>
      <c r="N163" s="2" t="n">
        <v>2</v>
      </c>
      <c r="O163" s="3" t="inlineStr">
        <is>
          <t>Bassa – 2 progetti finanziabili (stima: tasso storico non disponibile)</t>
        </is>
      </c>
      <c r="P163" s="3" t="inlineStr">
        <is>
          <t>70% per le imprese, 100% per gli enti non profit</t>
        </is>
      </c>
      <c r="Q163" s="5" t="n">
        <v>46722</v>
      </c>
      <c r="R163" s="6">
        <f>IF(Q163="","",Q163-TODAY())</f>
        <v/>
      </c>
      <c r="S163" s="5" t="n">
        <v>46512</v>
      </c>
      <c r="T163" s="2" t="n"/>
      <c r="U163" s="2" t="inlineStr">
        <is>
          <t>Innovazione</t>
        </is>
      </c>
      <c r="V163" s="3" t="n"/>
      <c r="W163" s="3" t="inlineStr">
        <is>
          <t>Consorzio: min. 3 enti indipendenti da 3 paesi UE/associati (regola standard, verificare il topic)</t>
        </is>
      </c>
      <c r="X163" s="2" t="inlineStr">
        <is>
          <t>Stati membri UE e paesi associati (altri paesi secondo le condizioni del topic)</t>
        </is>
      </c>
      <c r="Y163" s="2" t="inlineStr">
        <is>
          <t>Inglese</t>
        </is>
      </c>
      <c r="Z163" s="7" t="inlineStr">
        <is>
          <t>https://ec.europa.eu/info/funding-tenders/opportunities/portal/screen/opportunities/topic-details/HORIZON-NEB-2027-01-PARTICIPATION-02</t>
        </is>
      </c>
      <c r="AA163" s="3" t="n"/>
      <c r="AB163" s="2" t="inlineStr">
        <is>
          <t>In apertura</t>
        </is>
      </c>
      <c r="AC163" s="5" t="n">
        <v>46312</v>
      </c>
      <c r="AD163" s="5" t="n">
        <v>46312</v>
      </c>
      <c r="AE163" s="2" t="n"/>
    </row>
    <row r="164">
      <c r="A164" s="2" t="inlineStr">
        <is>
          <t>GG-FOR-FD-25-001</t>
        </is>
      </c>
      <c r="B164" s="2" t="inlineStr">
        <is>
          <t>Grants.gov</t>
        </is>
      </c>
      <c r="C164" s="2" t="inlineStr">
        <is>
          <t>Food and Drug Administration – FOR-FD-25-001</t>
        </is>
      </c>
      <c r="D164" s="2" t="inlineStr">
        <is>
          <t>Food and Drug Administration</t>
        </is>
      </c>
      <c r="E164" s="3" t="inlineStr">
        <is>
          <t>Clinical Trials Addressing Unmet Needs of Rare Neurodegenerative Diseases (R01) Clinical Trials Required</t>
        </is>
      </c>
      <c r="F164" s="3" t="inlineStr">
        <is>
          <t>Clinical Trials Addressing Unmet Needs of Rare Neurodegenerative Diseases (R01) Clinical Trials Required</t>
        </is>
      </c>
      <c r="G164" s="2" t="inlineStr">
        <is>
          <t>Invecchiamento</t>
        </is>
      </c>
      <c r="H164" s="2" t="inlineStr">
        <is>
          <t>neurodegenerat</t>
        </is>
      </c>
      <c r="I164" s="2" t="inlineStr">
        <is>
          <t>Non analizzato</t>
        </is>
      </c>
      <c r="J164" s="3" t="n"/>
      <c r="K164" s="4" t="n"/>
      <c r="L164" s="4" t="n">
        <v>900000</v>
      </c>
      <c r="M164" s="2" t="inlineStr">
        <is>
          <t>USD</t>
        </is>
      </c>
      <c r="N164" s="2" t="n"/>
      <c r="O164" s="3" t="inlineStr">
        <is>
          <t>Non stimabile – dati insufficienti</t>
        </is>
      </c>
      <c r="P164" s="3" t="inlineStr">
        <is>
          <t>100% – nessun cost sharing richiesto</t>
        </is>
      </c>
      <c r="Q164" s="5" t="n"/>
      <c r="R164" s="6">
        <f>IF(Q164="","",Q164-TODAY())</f>
        <v/>
      </c>
      <c r="S164" s="5" t="n">
        <v>45518</v>
      </c>
      <c r="T164" s="2" t="n"/>
      <c r="U164" s="2" t="n"/>
      <c r="V164" s="3" t="inlineStr">
        <is>
          <t>City or township governments; Unrestricted (i.e., open to any type of entity above), subject to any clarification in text field entitled "Additional Information on Eligibility"; Private institutions of higher education; Public and State controlled institutions of higher education; County governments; Public housing authorities/Indian housing authorities; Nonprofits that do not have a 501(c)(3) sta</t>
        </is>
      </c>
      <c r="W164" s="3" t="n"/>
      <c r="X164" s="2" t="inlineStr">
        <is>
          <t>Solo enti statunitensi (salvo diversa indicazione)</t>
        </is>
      </c>
      <c r="Y164" s="2" t="inlineStr">
        <is>
          <t>Inglese</t>
        </is>
      </c>
      <c r="Z164" s="7" t="inlineStr">
        <is>
          <t>https://www.grants.gov/search-results-detail/356054</t>
        </is>
      </c>
      <c r="AA164" s="3" t="n"/>
      <c r="AB164" s="2" t="inlineStr">
        <is>
          <t>In apertura</t>
        </is>
      </c>
      <c r="AC164" s="5" t="n">
        <v>46312</v>
      </c>
      <c r="AD164" s="5" t="n">
        <v>46312</v>
      </c>
      <c r="AE164" s="2" t="n"/>
    </row>
    <row r="165">
      <c r="A165" s="2" t="inlineStr">
        <is>
          <t>GG-FOR-FD-25-006</t>
        </is>
      </c>
      <c r="B165" s="2" t="inlineStr">
        <is>
          <t>Grants.gov</t>
        </is>
      </c>
      <c r="C165" s="2" t="inlineStr">
        <is>
          <t>Food and Drug Administration – FOR-FD-25-006</t>
        </is>
      </c>
      <c r="D165" s="2" t="inlineStr">
        <is>
          <t>Food and Drug Administration</t>
        </is>
      </c>
      <c r="E165" s="3" t="inlineStr">
        <is>
          <t>Studies Addressing Rare Neurodegenerative Diseases including ALS</t>
        </is>
      </c>
      <c r="F165" s="3" t="inlineStr">
        <is>
          <t>Studies Addressing Rare Neurodegenerative Diseases including ALS</t>
        </is>
      </c>
      <c r="G165" s="2" t="inlineStr">
        <is>
          <t>Invecchiamento</t>
        </is>
      </c>
      <c r="H165" s="2" t="inlineStr">
        <is>
          <t>neurodegenerat</t>
        </is>
      </c>
      <c r="I165" s="2" t="inlineStr">
        <is>
          <t>Non analizzato</t>
        </is>
      </c>
      <c r="J165" s="3" t="n"/>
      <c r="K165" s="4" t="n"/>
      <c r="L165" s="4" t="n"/>
      <c r="M165" s="2" t="inlineStr">
        <is>
          <t>USD</t>
        </is>
      </c>
      <c r="N165" s="2" t="n">
        <v>10</v>
      </c>
      <c r="O165" s="3" t="inlineStr">
        <is>
          <t>Media – 10 progetti finanziabili (stima: tasso storico non disponibile)</t>
        </is>
      </c>
      <c r="P165" s="3" t="inlineStr">
        <is>
          <t>100% – nessun cost sharing richiesto</t>
        </is>
      </c>
      <c r="Q165" s="5" t="n"/>
      <c r="R165" s="6">
        <f>IF(Q165="","",Q165-TODAY())</f>
        <v/>
      </c>
      <c r="S165" s="5" t="n">
        <v>45518</v>
      </c>
      <c r="T165" s="2" t="n"/>
      <c r="U165" s="2" t="n"/>
      <c r="V165" s="3" t="inlineStr">
        <is>
          <t>Private institutions of higher education; County governments; Small businesses; Nonprofits having a 501(c)(3) status with the IRS, other than institutions of higher education; State governments; Unrestricted (i.e., open to any type of entity above), subject to any clarification in text field entitled "Additional Information on Eligibility"; Native American tribal governments (Federally recognized)</t>
        </is>
      </c>
      <c r="W165" s="3" t="n"/>
      <c r="X165" s="2" t="inlineStr">
        <is>
          <t>Solo enti statunitensi (salvo diversa indicazione)</t>
        </is>
      </c>
      <c r="Y165" s="2" t="inlineStr">
        <is>
          <t>Inglese</t>
        </is>
      </c>
      <c r="Z165" s="7" t="inlineStr">
        <is>
          <t>https://www.grants.gov/search-results-detail/356046</t>
        </is>
      </c>
      <c r="AA165" s="3" t="n"/>
      <c r="AB165" s="2" t="inlineStr">
        <is>
          <t>In apertura</t>
        </is>
      </c>
      <c r="AC165" s="5" t="n">
        <v>46312</v>
      </c>
      <c r="AD165" s="5" t="n">
        <v>46312</v>
      </c>
      <c r="AE165" s="2" t="n"/>
    </row>
    <row r="166">
      <c r="A166" s="2" t="inlineStr">
        <is>
          <t>GG-FOR-FD-24-016</t>
        </is>
      </c>
      <c r="B166" s="2" t="inlineStr">
        <is>
          <t>Grants.gov</t>
        </is>
      </c>
      <c r="C166" s="2" t="inlineStr">
        <is>
          <t>Food and Drug Administration – FOR-FD-24-016</t>
        </is>
      </c>
      <c r="D166" s="2" t="inlineStr">
        <is>
          <t>Food and Drug Administration</t>
        </is>
      </c>
      <c r="E166" s="3" t="inlineStr">
        <is>
          <t>FDA OMHHE Health Equity Innovation Award: Enhance Equity Funding Opportunity (U01) Clinical Trials Not Allowed</t>
        </is>
      </c>
      <c r="F166" s="3" t="inlineStr">
        <is>
          <t>FDA OMHHE Health Equity Innovation Award: Enhance Equity Funding Opportunity (U01) Clinical Trials Not Allowed</t>
        </is>
      </c>
      <c r="G166" s="2" t="inlineStr">
        <is>
          <t>Riabilitazione</t>
        </is>
      </c>
      <c r="H166" s="2" t="inlineStr">
        <is>
          <t>disabilit</t>
        </is>
      </c>
      <c r="I166" s="2" t="inlineStr">
        <is>
          <t>Non analizzato</t>
        </is>
      </c>
      <c r="J166" s="3" t="n"/>
      <c r="K166" s="4" t="n"/>
      <c r="L166" s="4" t="n">
        <v>1000000</v>
      </c>
      <c r="M166" s="2" t="inlineStr">
        <is>
          <t>USD</t>
        </is>
      </c>
      <c r="N166" s="2" t="n">
        <v>4</v>
      </c>
      <c r="O166" s="3" t="inlineStr">
        <is>
          <t>Bassa – 4 progetti finanziabili (stima: tasso storico non disponibile)</t>
        </is>
      </c>
      <c r="P166" s="3" t="inlineStr">
        <is>
          <t>100% – nessun cost sharing richiesto</t>
        </is>
      </c>
      <c r="Q166" s="5" t="n"/>
      <c r="R166" s="6">
        <f>IF(Q166="","",Q166-TODAY())</f>
        <v/>
      </c>
      <c r="S166" s="5" t="n">
        <v>45268</v>
      </c>
      <c r="T166" s="2" t="n"/>
      <c r="U166" s="2" t="n"/>
      <c r="V166" s="3" t="inlineStr">
        <is>
          <t>Independent school districts; Public and State controlled institutions of higher education; County governments; City or township governments; State governments; Native American tribal governments (Federally recognized); Small businesses; Unrestricted (i.e., open to any type of entity above), subject to any clarification in text field entitled "Additional Information on Eligibility"; Public housing</t>
        </is>
      </c>
      <c r="W166" s="3" t="n"/>
      <c r="X166" s="2" t="inlineStr">
        <is>
          <t>Solo enti statunitensi (salvo diversa indicazione)</t>
        </is>
      </c>
      <c r="Y166" s="2" t="inlineStr">
        <is>
          <t>Inglese</t>
        </is>
      </c>
      <c r="Z166" s="7" t="inlineStr">
        <is>
          <t>https://www.grants.gov/search-results-detail/351413</t>
        </is>
      </c>
      <c r="AA166" s="3" t="n"/>
      <c r="AB166" s="2" t="inlineStr">
        <is>
          <t>In apertura</t>
        </is>
      </c>
      <c r="AC166" s="5" t="n">
        <v>46312</v>
      </c>
      <c r="AD166" s="5" t="n">
        <v>46312</v>
      </c>
      <c r="AE166" s="2" t="n"/>
    </row>
    <row r="167">
      <c r="A167" s="2" t="inlineStr">
        <is>
          <t>GG-FOR-FD-25-011</t>
        </is>
      </c>
      <c r="B167" s="2" t="inlineStr">
        <is>
          <t>Grants.gov</t>
        </is>
      </c>
      <c r="C167" s="2" t="inlineStr">
        <is>
          <t>Food and Drug Administration – FOR-FD-25-011</t>
        </is>
      </c>
      <c r="D167" s="2" t="inlineStr">
        <is>
          <t>Food and Drug Administration</t>
        </is>
      </c>
      <c r="E167" s="3" t="inlineStr">
        <is>
          <t>Health Equity Innovation Award: Enhance Equity Funding Opportunity (U01) Clinical Trials Not Allowed</t>
        </is>
      </c>
      <c r="F167" s="3" t="inlineStr">
        <is>
          <t>Health Equity Innovation Award: Enhance Equity Funding Opportunity (U01) Clinical Trials Not Allowed</t>
        </is>
      </c>
      <c r="G167" s="2" t="inlineStr">
        <is>
          <t>Riabilitazione</t>
        </is>
      </c>
      <c r="H167" s="2" t="inlineStr">
        <is>
          <t>disabilit</t>
        </is>
      </c>
      <c r="I167" s="2" t="inlineStr">
        <is>
          <t>Non analizzato</t>
        </is>
      </c>
      <c r="J167" s="3" t="n"/>
      <c r="K167" s="4" t="n"/>
      <c r="L167" s="4" t="n">
        <v>1000000</v>
      </c>
      <c r="M167" s="2" t="inlineStr">
        <is>
          <t>USD</t>
        </is>
      </c>
      <c r="N167" s="2" t="n">
        <v>4</v>
      </c>
      <c r="O167" s="3" t="inlineStr">
        <is>
          <t>Bassa – 4 progetti finanziabili (stima: tasso storico non disponibile)</t>
        </is>
      </c>
      <c r="P167" s="3" t="inlineStr">
        <is>
          <t>100% – nessun cost sharing richiesto</t>
        </is>
      </c>
      <c r="Q167" s="5" t="n"/>
      <c r="R167" s="6">
        <f>IF(Q167="","",Q167-TODAY())</f>
        <v/>
      </c>
      <c r="S167" s="5" t="n">
        <v>45518</v>
      </c>
      <c r="T167" s="2" t="n"/>
      <c r="U167" s="2" t="n"/>
      <c r="V167" s="3" t="inlineStr">
        <is>
          <t>Nonprofits having a 501(c)(3) status with the IRS, other than institutions of higher education; State governments; Native American tribal governments (Federally recognized); Independent school districts; Public housing authorities/Indian housing authorities; Native American tribal organizations (other than Federally recognized tribal governments); Unrestricted (i.e., open to any type of entity abo</t>
        </is>
      </c>
      <c r="W167" s="3" t="n"/>
      <c r="X167" s="2" t="inlineStr">
        <is>
          <t>Solo enti statunitensi (salvo diversa indicazione)</t>
        </is>
      </c>
      <c r="Y167" s="2" t="inlineStr">
        <is>
          <t>Inglese</t>
        </is>
      </c>
      <c r="Z167" s="7" t="inlineStr">
        <is>
          <t>https://www.grants.gov/search-results-detail/356051</t>
        </is>
      </c>
      <c r="AA167" s="3" t="n"/>
      <c r="AB167" s="2" t="inlineStr">
        <is>
          <t>In apertura</t>
        </is>
      </c>
      <c r="AC167" s="5" t="n">
        <v>46312</v>
      </c>
      <c r="AD167" s="5" t="n">
        <v>46312</v>
      </c>
      <c r="AE167" s="2" t="n"/>
    </row>
    <row r="168">
      <c r="A168" s="2" t="inlineStr">
        <is>
          <t>GG-CMS-2L2-25-001</t>
        </is>
      </c>
      <c r="B168" s="2" t="inlineStr">
        <is>
          <t>Grants.gov</t>
        </is>
      </c>
      <c r="C168" s="2" t="inlineStr">
        <is>
          <t>Center for Medicare and Medicaid Services – CMS-2L2-25-001</t>
        </is>
      </c>
      <c r="D168" s="2" t="inlineStr">
        <is>
          <t>Center for Medicare and Medicaid Services</t>
        </is>
      </c>
      <c r="E168" s="3" t="inlineStr">
        <is>
          <t>Health Equity Data Access Program (HEDAP)</t>
        </is>
      </c>
      <c r="F168" s="3" t="inlineStr">
        <is>
          <t>Health Equity Data Access Program (HEDAP)</t>
        </is>
      </c>
      <c r="G168" s="2" t="inlineStr">
        <is>
          <t>Riabilitazione</t>
        </is>
      </c>
      <c r="H168" s="2" t="inlineStr">
        <is>
          <t>disabilit</t>
        </is>
      </c>
      <c r="I168" s="2" t="inlineStr">
        <is>
          <t>Non analizzato</t>
        </is>
      </c>
      <c r="J168" s="3" t="n"/>
      <c r="K168" s="4" t="n"/>
      <c r="L168" s="4" t="n">
        <v>90000</v>
      </c>
      <c r="M168" s="2" t="inlineStr">
        <is>
          <t>USD</t>
        </is>
      </c>
      <c r="N168" s="2" t="n">
        <v>6</v>
      </c>
      <c r="O168" s="3" t="inlineStr">
        <is>
          <t>Media – 6 progetti finanziabili (stima: tasso storico non disponibile)</t>
        </is>
      </c>
      <c r="P168" s="3" t="inlineStr">
        <is>
          <t>100% – nessun cost sharing richiesto</t>
        </is>
      </c>
      <c r="Q168" s="5" t="n"/>
      <c r="R168" s="6">
        <f>IF(Q168="","",Q168-TODAY())</f>
        <v/>
      </c>
      <c r="S168" s="5" t="n">
        <v>45498</v>
      </c>
      <c r="T168" s="2" t="n"/>
      <c r="U168" s="2" t="n"/>
      <c r="V168" s="3" t="inlineStr">
        <is>
          <t>Public and State controlled institutions of higher education; Private institutions of higher education; Nonprofits having a 501(c)(3) status with the IRS, other than institutions of higher education</t>
        </is>
      </c>
      <c r="W168" s="3" t="n"/>
      <c r="X168" s="2" t="inlineStr">
        <is>
          <t>Solo enti statunitensi (salvo diversa indicazione)</t>
        </is>
      </c>
      <c r="Y168" s="2" t="inlineStr">
        <is>
          <t>Inglese</t>
        </is>
      </c>
      <c r="Z168" s="7" t="inlineStr">
        <is>
          <t>https://www.grants.gov/search-results-detail/355646</t>
        </is>
      </c>
      <c r="AA168" s="3" t="n"/>
      <c r="AB168" s="2" t="inlineStr">
        <is>
          <t>In apertura</t>
        </is>
      </c>
      <c r="AC168" s="5" t="n">
        <v>46312</v>
      </c>
      <c r="AD168" s="5" t="n">
        <v>46312</v>
      </c>
      <c r="AE168" s="2" t="n"/>
    </row>
    <row r="169">
      <c r="A169" s="2" t="inlineStr">
        <is>
          <t>GG-PD-26-369Y</t>
        </is>
      </c>
      <c r="B169" s="2" t="inlineStr">
        <is>
          <t>Grants.gov</t>
        </is>
      </c>
      <c r="C169" s="2" t="inlineStr">
        <is>
          <t>U.S. National Science Foundation – PD-26-369Y</t>
        </is>
      </c>
      <c r="D169" s="2" t="inlineStr">
        <is>
          <t>U.S. National Science Foundation</t>
        </is>
      </c>
      <c r="E169" s="3" t="inlineStr">
        <is>
          <t>Engineering Biological and Biomedical Systems (EBBS)</t>
        </is>
      </c>
      <c r="F169" s="3" t="inlineStr">
        <is>
          <t>Engineering Biological and Biomedical Systems (EBBS)</t>
        </is>
      </c>
      <c r="G169" s="2" t="inlineStr">
        <is>
          <t>Riabilitazione</t>
        </is>
      </c>
      <c r="H169" s="2" t="inlineStr">
        <is>
          <t>rehabilitat, persons with disabilities</t>
        </is>
      </c>
      <c r="I169" s="2" t="inlineStr">
        <is>
          <t>Non analizzato</t>
        </is>
      </c>
      <c r="J169" s="3" t="n"/>
      <c r="K169" s="4" t="n"/>
      <c r="L169" s="4" t="n"/>
      <c r="M169" s="2" t="inlineStr">
        <is>
          <t>USD</t>
        </is>
      </c>
      <c r="N169" s="2" t="n"/>
      <c r="O169" s="3" t="inlineStr">
        <is>
          <t>Non stimabile – dati insufficienti</t>
        </is>
      </c>
      <c r="P169" s="3" t="inlineStr">
        <is>
          <t>100% – nessun cost sharing richiesto</t>
        </is>
      </c>
      <c r="Q169" s="5" t="n"/>
      <c r="R169" s="6">
        <f>IF(Q169="","",Q169-TODAY())</f>
        <v/>
      </c>
      <c r="S169" s="5" t="n">
        <v>46136</v>
      </c>
      <c r="T169" s="2" t="n"/>
      <c r="U169" s="2" t="n"/>
      <c r="V169" s="3" t="inlineStr">
        <is>
          <t>Unrestricted (i.e., open to any type of entity above), subject to any clarification in text field entitled "Additional Information on Eligibility"</t>
        </is>
      </c>
      <c r="W169" s="3" t="n"/>
      <c r="X169" s="2" t="inlineStr">
        <is>
          <t>Solo enti statunitensi (salvo diversa indicazione)</t>
        </is>
      </c>
      <c r="Y169" s="2" t="inlineStr">
        <is>
          <t>Inglese</t>
        </is>
      </c>
      <c r="Z169" s="7" t="inlineStr">
        <is>
          <t>https://www.grants.gov/search-results-detail/362062</t>
        </is>
      </c>
      <c r="AA169" s="3" t="n"/>
      <c r="AB169" s="2" t="inlineStr">
        <is>
          <t>Scadenza da verificare</t>
        </is>
      </c>
      <c r="AC169" s="5" t="n">
        <v>46312</v>
      </c>
      <c r="AD169" s="5" t="n">
        <v>46312</v>
      </c>
      <c r="AE169" s="2" t="n"/>
    </row>
    <row r="170">
      <c r="A170" s="2" t="inlineStr">
        <is>
          <t>GG-ESP22APS</t>
        </is>
      </c>
      <c r="B170" s="2" t="inlineStr">
        <is>
          <t>Grants.gov</t>
        </is>
      </c>
      <c r="C170" s="2" t="inlineStr">
        <is>
          <t>U.S. Mission to Spain – ESP22APS</t>
        </is>
      </c>
      <c r="D170" s="2" t="inlineStr">
        <is>
          <t>U.S. Mission to Spain</t>
        </is>
      </c>
      <c r="E170" s="3" t="inlineStr">
        <is>
          <t>Mission Spain Public Diplomacy 2022 Annual Program Statement</t>
        </is>
      </c>
      <c r="F170" s="3" t="inlineStr">
        <is>
          <t>Mission Spain Public Diplomacy 2022 Annual Program Statement</t>
        </is>
      </c>
      <c r="G170" s="2" t="inlineStr">
        <is>
          <t>Riabilitazione</t>
        </is>
      </c>
      <c r="H170" s="2" t="inlineStr">
        <is>
          <t>disabilit</t>
        </is>
      </c>
      <c r="I170" s="2" t="inlineStr">
        <is>
          <t>Non analizzato</t>
        </is>
      </c>
      <c r="J170" s="3" t="n"/>
      <c r="K170" s="4" t="n">
        <v>200000</v>
      </c>
      <c r="L170" s="4" t="n">
        <v>75000</v>
      </c>
      <c r="M170" s="2" t="inlineStr">
        <is>
          <t>USD</t>
        </is>
      </c>
      <c r="N170" s="2" t="n">
        <v>2</v>
      </c>
      <c r="O170" s="3" t="inlineStr">
        <is>
          <t>Bassa – 2 progetti finanziabili (stima: tasso storico non disponibile)</t>
        </is>
      </c>
      <c r="P170" s="3" t="inlineStr">
        <is>
          <t>100% – nessun cost sharing richiesto</t>
        </is>
      </c>
      <c r="Q170" s="5" t="n"/>
      <c r="R170" s="6">
        <f>IF(Q170="","",Q170-TODAY())</f>
        <v/>
      </c>
      <c r="S170" s="5" t="n">
        <v>44502</v>
      </c>
      <c r="T170" s="2" t="n"/>
      <c r="U170" s="2" t="n"/>
      <c r="V170" s="3" t="inlineStr">
        <is>
          <t>Others (see text field entitled "Additional Information on Eligibility" for clarification)</t>
        </is>
      </c>
      <c r="W170" s="3" t="n"/>
      <c r="X170" s="2" t="inlineStr">
        <is>
          <t>Solo enti statunitensi (salvo diversa indicazione)</t>
        </is>
      </c>
      <c r="Y170" s="2" t="inlineStr">
        <is>
          <t>Inglese</t>
        </is>
      </c>
      <c r="Z170" s="7" t="inlineStr">
        <is>
          <t>https://www.grants.gov/search-results-detail/336244</t>
        </is>
      </c>
      <c r="AA170" s="3" t="n"/>
      <c r="AB170" s="2" t="inlineStr">
        <is>
          <t>Scadenza da verificare</t>
        </is>
      </c>
      <c r="AC170" s="5" t="n">
        <v>46312</v>
      </c>
      <c r="AD170" s="5" t="n">
        <v>46312</v>
      </c>
      <c r="AE170" s="2" t="n"/>
    </row>
    <row r="171">
      <c r="A171" s="2" t="inlineStr">
        <is>
          <t>GG-PD-18-7222</t>
        </is>
      </c>
      <c r="B171" s="2" t="inlineStr">
        <is>
          <t>Grants.gov</t>
        </is>
      </c>
      <c r="C171" s="2" t="inlineStr">
        <is>
          <t>U.S. National Science Foundation – PD-18-7222</t>
        </is>
      </c>
      <c r="D171" s="2" t="inlineStr">
        <is>
          <t>U.S. National Science Foundation</t>
        </is>
      </c>
      <c r="E171" s="3" t="inlineStr">
        <is>
          <t>Crosscutting Activities in Materials Research</t>
        </is>
      </c>
      <c r="F171" s="3" t="inlineStr">
        <is>
          <t>Crosscutting Activities in Materials Research</t>
        </is>
      </c>
      <c r="G171" s="2" t="inlineStr">
        <is>
          <t>Riabilitazione</t>
        </is>
      </c>
      <c r="H171" s="2" t="inlineStr">
        <is>
          <t>disabilit</t>
        </is>
      </c>
      <c r="I171" s="2" t="inlineStr">
        <is>
          <t>Non analizzato</t>
        </is>
      </c>
      <c r="J171" s="3" t="n"/>
      <c r="K171" s="4" t="n"/>
      <c r="L171" s="4" t="n"/>
      <c r="M171" s="2" t="inlineStr">
        <is>
          <t>USD</t>
        </is>
      </c>
      <c r="N171" s="2" t="n">
        <v>100</v>
      </c>
      <c r="O171" s="3" t="inlineStr">
        <is>
          <t>Alta – 100 progetti finanziabili (stima: tasso storico non disponibile)</t>
        </is>
      </c>
      <c r="P171" s="3" t="inlineStr">
        <is>
          <t>100% – nessun cost sharing richiesto</t>
        </is>
      </c>
      <c r="Q171" s="5" t="n"/>
      <c r="R171" s="6">
        <f>IF(Q171="","",Q171-TODAY())</f>
        <v/>
      </c>
      <c r="S171" s="5" t="n">
        <v>43351</v>
      </c>
      <c r="T171" s="2" t="n"/>
      <c r="U171" s="2" t="n"/>
      <c r="V171" s="3" t="inlineStr">
        <is>
          <t>Unrestricted (i.e., open to any type of entity above), subject to any clarification in text field entitled "Additional Information on Eligibility"</t>
        </is>
      </c>
      <c r="W171" s="3" t="n"/>
      <c r="X171" s="2" t="inlineStr">
        <is>
          <t>Solo enti statunitensi (salvo diversa indicazione)</t>
        </is>
      </c>
      <c r="Y171" s="2" t="inlineStr">
        <is>
          <t>Inglese</t>
        </is>
      </c>
      <c r="Z171" s="7" t="inlineStr">
        <is>
          <t>https://www.grants.gov/search-results-detail/308873</t>
        </is>
      </c>
      <c r="AA171" s="3" t="n"/>
      <c r="AB171" s="2" t="inlineStr">
        <is>
          <t>Scadenza da verificare</t>
        </is>
      </c>
      <c r="AC171" s="5" t="n">
        <v>46312</v>
      </c>
      <c r="AD171" s="5" t="n">
        <v>46312</v>
      </c>
      <c r="AE171" s="2" t="n"/>
    </row>
    <row r="172">
      <c r="A172" s="2" t="inlineStr">
        <is>
          <t>WEB-2736f2912b4d</t>
        </is>
      </c>
      <c r="B172" s="2" t="inlineStr">
        <is>
          <t>Fondazione Cariplo</t>
        </is>
      </c>
      <c r="C172" s="2" t="inlineStr">
        <is>
          <t>sap bandowelfareinageing 28genn251 1</t>
        </is>
      </c>
      <c r="D172" s="2" t="inlineStr">
        <is>
          <t>Fondazione Cariplo</t>
        </is>
      </c>
      <c r="E172" s="3" t="inlineStr">
        <is>
          <t>sap bandowelfareinageing 28genn251 1</t>
        </is>
      </c>
      <c r="F172" s="3" t="inlineStr">
        <is>
          <t>sap bandowelfareinageing 28genn251 1</t>
        </is>
      </c>
      <c r="G172" s="2" t="inlineStr">
        <is>
          <t>Invecchiamento</t>
        </is>
      </c>
      <c r="H172" s="2" t="inlineStr">
        <is>
          <t>demenz, anzian, ageing</t>
        </is>
      </c>
      <c r="I172" s="2" t="inlineStr">
        <is>
          <t>Non analizzato</t>
        </is>
      </c>
      <c r="J172" s="3" t="n"/>
      <c r="K172" s="4" t="n"/>
      <c r="L172" s="4" t="n"/>
      <c r="M172" s="2" t="n"/>
      <c r="N172" s="2" t="n"/>
      <c r="O172" s="3" t="inlineStr">
        <is>
          <t>Non stimabile – dati insufficienti</t>
        </is>
      </c>
      <c r="P172" s="3" t="inlineStr">
        <is>
          <t>Non indicato</t>
        </is>
      </c>
      <c r="Q172" s="5" t="n"/>
      <c r="R172" s="6">
        <f>IF(Q172="","",Q172-TODAY())</f>
        <v/>
      </c>
      <c r="S172" s="5" t="n"/>
      <c r="T172" s="2" t="n"/>
      <c r="U172" s="2" t="n"/>
      <c r="V172" s="3" t="n"/>
      <c r="W172" s="3" t="n"/>
      <c r="X172" s="2" t="inlineStr">
        <is>
          <t>Italia (Lombardia)</t>
        </is>
      </c>
      <c r="Y172" s="2" t="inlineStr">
        <is>
          <t>Italiano</t>
        </is>
      </c>
      <c r="Z172" s="7" t="inlineStr">
        <is>
          <t>https://www.fondazionecariplo.it/wp-content/uploads/2026/01/sap_bandowelfareinageing_28genn251-1.pdf</t>
        </is>
      </c>
      <c r="AA172" s="3" t="n"/>
      <c r="AB172" s="2" t="inlineStr">
        <is>
          <t>Scadenza da verificare</t>
        </is>
      </c>
      <c r="AC172" s="5" t="n">
        <v>46312</v>
      </c>
      <c r="AD172" s="5" t="n">
        <v>46312</v>
      </c>
      <c r="AE172" s="2" t="n"/>
    </row>
    <row r="173">
      <c r="A173" s="2" t="inlineStr">
        <is>
          <t>WEB-df4b0d1883f9</t>
        </is>
      </c>
      <c r="B173" s="2" t="inlineStr">
        <is>
          <t>Fondazione CRT</t>
        </is>
      </c>
      <c r="C173" s="2" t="inlineStr">
        <is>
          <t>Legàmi in Comune</t>
        </is>
      </c>
      <c r="D173" s="2" t="inlineStr">
        <is>
          <t>Fondazione CRT</t>
        </is>
      </c>
      <c r="E173" s="3" t="inlineStr">
        <is>
          <t>Legàmi in Comune</t>
        </is>
      </c>
      <c r="F173" s="3" t="inlineStr">
        <is>
          <t>Legàmi in Comune</t>
        </is>
      </c>
      <c r="G173" s="2" t="inlineStr">
        <is>
          <t>Riabilitazione</t>
        </is>
      </c>
      <c r="H173" s="2" t="inlineStr">
        <is>
          <t>disabilit</t>
        </is>
      </c>
      <c r="I173" s="2" t="inlineStr">
        <is>
          <t>Non analizzato</t>
        </is>
      </c>
      <c r="J173" s="3" t="n"/>
      <c r="K173" s="4" t="n"/>
      <c r="L173" s="4" t="n"/>
      <c r="M173" s="2" t="n"/>
      <c r="N173" s="2" t="n"/>
      <c r="O173" s="3" t="inlineStr">
        <is>
          <t>Non stimabile – dati insufficienti</t>
        </is>
      </c>
      <c r="P173" s="3" t="inlineStr">
        <is>
          <t>Non indicato</t>
        </is>
      </c>
      <c r="Q173" s="5" t="n"/>
      <c r="R173" s="6">
        <f>IF(Q173="","",Q173-TODAY())</f>
        <v/>
      </c>
      <c r="S173" s="5" t="n"/>
      <c r="T173" s="2" t="n"/>
      <c r="U173" s="2" t="n"/>
      <c r="V173" s="3" t="n"/>
      <c r="W173" s="3" t="n"/>
      <c r="X173" s="2" t="inlineStr">
        <is>
          <t>Italia (Piemonte, Valle d'Aosta)</t>
        </is>
      </c>
      <c r="Y173" s="2" t="inlineStr">
        <is>
          <t>Italiano</t>
        </is>
      </c>
      <c r="Z173" s="7" t="inlineStr">
        <is>
          <t>https://www.fondazionecrt.it/en/calls-projects/legami-in-comune/</t>
        </is>
      </c>
      <c r="AA173" s="3" t="n"/>
      <c r="AB173" s="2" t="inlineStr">
        <is>
          <t>Scadenza da verificare</t>
        </is>
      </c>
      <c r="AC173" s="5" t="n">
        <v>46312</v>
      </c>
      <c r="AD173" s="5" t="n">
        <v>46312</v>
      </c>
      <c r="AE173" s="2" t="n"/>
    </row>
    <row r="174">
      <c r="A174" s="2" t="inlineStr">
        <is>
          <t>WEB-cacdf96b31bb</t>
        </is>
      </c>
      <c r="B174" s="2" t="inlineStr">
        <is>
          <t>Fondazione CRT</t>
        </is>
      </c>
      <c r="C174" s="2" t="inlineStr">
        <is>
          <t>Fondazione CRT: un autunno di opportunità per i piccoli Comuni del Piemonte e della Valle d’Aosta</t>
        </is>
      </c>
      <c r="D174" s="2" t="inlineStr">
        <is>
          <t>Fondazione CRT</t>
        </is>
      </c>
      <c r="E174" s="3" t="inlineStr">
        <is>
          <t>Fondazione CRT: un autunno di opportunità per i piccoli Comuni del Piemonte e della Valle d’Aosta</t>
        </is>
      </c>
      <c r="F174" s="3" t="inlineStr">
        <is>
          <t>Fondazione CRT: un autunno di opportunità per i piccoli Comuni del Piemonte e della Valle d’Aosta</t>
        </is>
      </c>
      <c r="G174" s="2" t="inlineStr">
        <is>
          <t>Invecchiamento</t>
        </is>
      </c>
      <c r="H174" s="2" t="inlineStr">
        <is>
          <t>fragilita</t>
        </is>
      </c>
      <c r="I174" s="2" t="inlineStr">
        <is>
          <t>Non analizzato</t>
        </is>
      </c>
      <c r="J174" s="3" t="n"/>
      <c r="K174" s="4" t="n">
        <v>30</v>
      </c>
      <c r="L174" s="4" t="n"/>
      <c r="M174" s="2" t="inlineStr">
        <is>
          <t>EUR</t>
        </is>
      </c>
      <c r="N174" s="2" t="n"/>
      <c r="O174" s="3" t="inlineStr">
        <is>
          <t>Non stimabile – dati insufficienti</t>
        </is>
      </c>
      <c r="P174" s="3" t="inlineStr">
        <is>
          <t>Possibile co-finanziamento: verificare</t>
        </is>
      </c>
      <c r="Q174" s="5" t="n"/>
      <c r="R174" s="6">
        <f>IF(Q174="","",Q174-TODAY())</f>
        <v/>
      </c>
      <c r="S174" s="5" t="n"/>
      <c r="T174" s="2" t="n"/>
      <c r="U174" s="2" t="n"/>
      <c r="V174" s="3" t="n"/>
      <c r="W174" s="3" t="n"/>
      <c r="X174" s="2" t="inlineStr">
        <is>
          <t>Italia (Piemonte, Valle d'Aosta)</t>
        </is>
      </c>
      <c r="Y174" s="2" t="inlineStr">
        <is>
          <t>Italiano</t>
        </is>
      </c>
      <c r="Z174" s="7" t="inlineStr">
        <is>
          <t>https://www.fondazionecrt.it/fondazione-crt-un-autunno-di-opportunita-per-i-piccoli-comuni-del-piemonte-e-della-valle-daosta/</t>
        </is>
      </c>
      <c r="AA174" s="3" t="n"/>
      <c r="AB174" s="2" t="inlineStr">
        <is>
          <t>Scadenza da verificare</t>
        </is>
      </c>
      <c r="AC174" s="5" t="n">
        <v>46312</v>
      </c>
      <c r="AD174" s="5" t="n">
        <v>46312</v>
      </c>
      <c r="AE174" s="2" t="n"/>
    </row>
    <row r="175">
      <c r="A175" s="2" t="inlineStr">
        <is>
          <t>WEB-fe0461af85f5</t>
        </is>
      </c>
      <c r="B175" s="2" t="inlineStr">
        <is>
          <t>Fondazione CR Firenze</t>
        </is>
      </c>
      <c r="C175" s="2" t="inlineStr">
        <is>
          <t>EST 8 esiti bando</t>
        </is>
      </c>
      <c r="D175" s="2" t="inlineStr">
        <is>
          <t>Fondazione CR Firenze</t>
        </is>
      </c>
      <c r="E175" s="3" t="inlineStr">
        <is>
          <t>EST 8 esiti bando</t>
        </is>
      </c>
      <c r="F175" s="3" t="inlineStr">
        <is>
          <t>EST 8 esiti bando</t>
        </is>
      </c>
      <c r="G175" s="2" t="inlineStr">
        <is>
          <t>Riabilitazione</t>
        </is>
      </c>
      <c r="H175" s="2" t="inlineStr">
        <is>
          <t>riabilitaz, disabilit</t>
        </is>
      </c>
      <c r="I175" s="2" t="inlineStr">
        <is>
          <t>Non analizzato</t>
        </is>
      </c>
      <c r="J175" s="3" t="n"/>
      <c r="K175" s="4" t="n"/>
      <c r="L175" s="4" t="n"/>
      <c r="M175" s="2" t="n"/>
      <c r="N175" s="2" t="n"/>
      <c r="O175" s="3" t="inlineStr">
        <is>
          <t>Non stimabile – dati insufficienti</t>
        </is>
      </c>
      <c r="P175" s="3" t="inlineStr">
        <is>
          <t>Non indicato</t>
        </is>
      </c>
      <c r="Q175" s="5" t="n"/>
      <c r="R175" s="6">
        <f>IF(Q175="","",Q175-TODAY())</f>
        <v/>
      </c>
      <c r="S175" s="5" t="n"/>
      <c r="T175" s="2" t="n"/>
      <c r="U175" s="2" t="n"/>
      <c r="V175" s="3" t="n"/>
      <c r="W175" s="3" t="n"/>
      <c r="X175" s="2" t="inlineStr">
        <is>
          <t>Italia (Toscana)</t>
        </is>
      </c>
      <c r="Y175" s="2" t="inlineStr">
        <is>
          <t>Italiano</t>
        </is>
      </c>
      <c r="Z175" s="7" t="inlineStr">
        <is>
          <t>https://fondazionecrfirenze.it/wp-content/uploads/2026/05/EST-8_esiti-bando.pdf</t>
        </is>
      </c>
      <c r="AA175" s="3" t="n"/>
      <c r="AB175" s="2" t="inlineStr">
        <is>
          <t>Scadenza da verificare</t>
        </is>
      </c>
      <c r="AC175" s="5" t="n">
        <v>46312</v>
      </c>
      <c r="AD175" s="5" t="n">
        <v>46312</v>
      </c>
      <c r="AE175" s="2" t="n"/>
    </row>
    <row r="176">
      <c r="A176" s="2" t="inlineStr">
        <is>
          <t>WEB-f039ee8f9772</t>
        </is>
      </c>
      <c r="B176" s="2" t="inlineStr">
        <is>
          <t>Fondazione Cariparo</t>
        </is>
      </c>
      <c r="C176" s="2" t="inlineStr">
        <is>
          <t>Giovani protagonisti: da Fondazione Cariparo nuove opportunità per scuole, comunità e territori</t>
        </is>
      </c>
      <c r="D176" s="2" t="inlineStr">
        <is>
          <t>Fondazione Cariparo</t>
        </is>
      </c>
      <c r="E176" s="3" t="inlineStr">
        <is>
          <t>Giovani protagonisti: da Fondazione Cariparo nuove opportunità per scuole, comunità e territori</t>
        </is>
      </c>
      <c r="F176" s="3" t="inlineStr">
        <is>
          <t>Giovani protagonisti: da Fondazione Cariparo nuove opportunità per scuole, comunità e territori</t>
        </is>
      </c>
      <c r="G176" s="2" t="inlineStr">
        <is>
          <t>Invecchiamento</t>
        </is>
      </c>
      <c r="H176" s="2" t="inlineStr">
        <is>
          <t>fragilita</t>
        </is>
      </c>
      <c r="I176" s="2" t="inlineStr">
        <is>
          <t>Non analizzato</t>
        </is>
      </c>
      <c r="J176" s="3" t="n"/>
      <c r="K176" s="4" t="n"/>
      <c r="L176" s="4" t="n"/>
      <c r="M176" s="2" t="n"/>
      <c r="N176" s="2" t="n"/>
      <c r="O176" s="3" t="inlineStr">
        <is>
          <t>Non stimabile – dati insufficienti</t>
        </is>
      </c>
      <c r="P176" s="3" t="inlineStr">
        <is>
          <t>Non indicato</t>
        </is>
      </c>
      <c r="Q176" s="5" t="n"/>
      <c r="R176" s="6">
        <f>IF(Q176="","",Q176-TODAY())</f>
        <v/>
      </c>
      <c r="S176" s="5" t="n"/>
      <c r="T176" s="2" t="n"/>
      <c r="U176" s="2" t="n"/>
      <c r="V176" s="3" t="n"/>
      <c r="W176" s="3" t="n"/>
      <c r="X176" s="2" t="inlineStr">
        <is>
          <t>Italia (Veneto)</t>
        </is>
      </c>
      <c r="Y176" s="2" t="inlineStr">
        <is>
          <t>Italiano</t>
        </is>
      </c>
      <c r="Z176" s="7" t="inlineStr">
        <is>
          <t>https://fondazionecariparo.it/2026/09/22/giovani-protagonisti-da-fondazione-cariparo-nuove-opportunita-per-scuole-comunita-e-territori/</t>
        </is>
      </c>
      <c r="AA176" s="3" t="n"/>
      <c r="AB176" s="2" t="inlineStr">
        <is>
          <t>Scadenza da verificare</t>
        </is>
      </c>
      <c r="AC176" s="5" t="n">
        <v>46312</v>
      </c>
      <c r="AD176" s="5" t="n">
        <v>46312</v>
      </c>
      <c r="AE176" s="2" t="n"/>
    </row>
    <row r="177">
      <c r="A177" s="2" t="inlineStr">
        <is>
          <t>WEB-e9d665f89b9a</t>
        </is>
      </c>
      <c r="B177" s="2" t="inlineStr">
        <is>
          <t>Fondazione Cariparo</t>
        </is>
      </c>
      <c r="C177" s="2" t="inlineStr">
        <is>
          <t>Progetto PRO</t>
        </is>
      </c>
      <c r="D177" s="2" t="inlineStr">
        <is>
          <t>Fondazione Cariparo</t>
        </is>
      </c>
      <c r="E177" s="3" t="inlineStr">
        <is>
          <t>Progetto PRO</t>
        </is>
      </c>
      <c r="F177" s="3" t="inlineStr">
        <is>
          <t>Progetto PRO</t>
        </is>
      </c>
      <c r="G177" s="2" t="inlineStr">
        <is>
          <t>Riabilitazione</t>
        </is>
      </c>
      <c r="H177" s="2" t="inlineStr">
        <is>
          <t>disabilit</t>
        </is>
      </c>
      <c r="I177" s="2" t="inlineStr">
        <is>
          <t>Non analizzato</t>
        </is>
      </c>
      <c r="J177" s="3" t="n"/>
      <c r="K177" s="4" t="n"/>
      <c r="L177" s="4" t="n"/>
      <c r="M177" s="2" t="n"/>
      <c r="N177" s="2" t="n"/>
      <c r="O177" s="3" t="inlineStr">
        <is>
          <t>Non stimabile – dati insufficienti</t>
        </is>
      </c>
      <c r="P177" s="3" t="inlineStr">
        <is>
          <t>Non indicato</t>
        </is>
      </c>
      <c r="Q177" s="5" t="n"/>
      <c r="R177" s="6">
        <f>IF(Q177="","",Q177-TODAY())</f>
        <v/>
      </c>
      <c r="S177" s="5" t="n"/>
      <c r="T177" s="2" t="n"/>
      <c r="U177" s="2" t="n"/>
      <c r="V177" s="3" t="n"/>
      <c r="W177" s="3" t="n"/>
      <c r="X177" s="2" t="inlineStr">
        <is>
          <t>Italia (Veneto)</t>
        </is>
      </c>
      <c r="Y177" s="2" t="inlineStr">
        <is>
          <t>Italiano</t>
        </is>
      </c>
      <c r="Z177" s="7" t="inlineStr">
        <is>
          <t>https://fondazionecariparo.it/iniziative/bando-autonomiapiu-3/</t>
        </is>
      </c>
      <c r="AA177" s="3" t="n"/>
      <c r="AB177" s="2" t="inlineStr">
        <is>
          <t>Scadenza da verificare</t>
        </is>
      </c>
      <c r="AC177" s="5" t="n">
        <v>46312</v>
      </c>
      <c r="AD177" s="5" t="n">
        <v>46312</v>
      </c>
      <c r="AE177" s="2" t="n"/>
    </row>
    <row r="178">
      <c r="A178" s="2" t="inlineStr">
        <is>
          <t>WEB-c663b3090d73</t>
        </is>
      </c>
      <c r="B178" s="2" t="inlineStr">
        <is>
          <t>Parkinson's UK</t>
        </is>
      </c>
      <c r="C178" s="2" t="inlineStr">
        <is>
          <t>Community</t>
        </is>
      </c>
      <c r="D178" s="2" t="inlineStr">
        <is>
          <t>Parkinson's UK</t>
        </is>
      </c>
      <c r="E178" s="3" t="inlineStr">
        <is>
          <t>Community</t>
        </is>
      </c>
      <c r="F178" s="3" t="inlineStr">
        <is>
          <t>Community</t>
        </is>
      </c>
      <c r="G178" s="2" t="inlineStr">
        <is>
          <t>Parkinson</t>
        </is>
      </c>
      <c r="H178" s="2" t="inlineStr">
        <is>
          <t>parkinson</t>
        </is>
      </c>
      <c r="I178" s="2" t="inlineStr">
        <is>
          <t>Non analizzato</t>
        </is>
      </c>
      <c r="J178" s="3" t="n"/>
      <c r="K178" s="4" t="n"/>
      <c r="L178" s="4" t="n"/>
      <c r="M178" s="2" t="n"/>
      <c r="N178" s="2" t="n"/>
      <c r="O178" s="3" t="inlineStr">
        <is>
          <t>Non stimabile – dati insufficienti</t>
        </is>
      </c>
      <c r="P178" s="3" t="inlineStr">
        <is>
          <t>Non indicato</t>
        </is>
      </c>
      <c r="Q178" s="5" t="n"/>
      <c r="R178" s="6">
        <f>IF(Q178="","",Q178-TODAY())</f>
        <v/>
      </c>
      <c r="S178" s="5" t="n"/>
      <c r="T178" s="2" t="n"/>
      <c r="U178" s="2" t="n"/>
      <c r="V178" s="3" t="n"/>
      <c r="W178" s="3" t="n"/>
      <c r="X178" s="2" t="inlineStr">
        <is>
          <t>Regno Unito</t>
        </is>
      </c>
      <c r="Y178" s="2" t="inlineStr">
        <is>
          <t>Inglese</t>
        </is>
      </c>
      <c r="Z178" s="7" t="inlineStr">
        <is>
          <t>https://www.parkinsons.org.uk/community</t>
        </is>
      </c>
      <c r="AA178" s="3" t="n"/>
      <c r="AB178" s="2" t="inlineStr">
        <is>
          <t>Scadenza da verificare</t>
        </is>
      </c>
      <c r="AC178" s="5" t="n">
        <v>46312</v>
      </c>
      <c r="AD178" s="5" t="n">
        <v>46312</v>
      </c>
      <c r="AE178" s="2" t="n"/>
    </row>
    <row r="179">
      <c r="A179" s="2" t="inlineStr">
        <is>
          <t>WEB-0736bd22ae0a</t>
        </is>
      </c>
      <c r="B179" s="2" t="inlineStr">
        <is>
          <t>Parkinson's UK</t>
        </is>
      </c>
      <c r="C179" s="2" t="inlineStr">
        <is>
          <t>For Parkinson's researchers</t>
        </is>
      </c>
      <c r="D179" s="2" t="inlineStr">
        <is>
          <t>Parkinson's UK</t>
        </is>
      </c>
      <c r="E179" s="3" t="inlineStr">
        <is>
          <t>For Parkinson's researchers</t>
        </is>
      </c>
      <c r="F179" s="3" t="inlineStr">
        <is>
          <t>For Parkinson's researchers</t>
        </is>
      </c>
      <c r="G179" s="2" t="inlineStr">
        <is>
          <t>Parkinson</t>
        </is>
      </c>
      <c r="H179" s="2" t="inlineStr">
        <is>
          <t>parkinson</t>
        </is>
      </c>
      <c r="I179" s="2" t="inlineStr">
        <is>
          <t>Non analizzato</t>
        </is>
      </c>
      <c r="J179" s="3" t="n"/>
      <c r="K179" s="4" t="n"/>
      <c r="L179" s="4" t="n"/>
      <c r="M179" s="2" t="n"/>
      <c r="N179" s="2" t="n"/>
      <c r="O179" s="3" t="inlineStr">
        <is>
          <t>Non stimabile – dati insufficienti</t>
        </is>
      </c>
      <c r="P179" s="3" t="inlineStr">
        <is>
          <t>Non indicato</t>
        </is>
      </c>
      <c r="Q179" s="5" t="n"/>
      <c r="R179" s="6">
        <f>IF(Q179="","",Q179-TODAY())</f>
        <v/>
      </c>
      <c r="S179" s="5" t="n"/>
      <c r="T179" s="2" t="n"/>
      <c r="U179" s="2" t="n"/>
      <c r="V179" s="3" t="n"/>
      <c r="W179" s="3" t="n"/>
      <c r="X179" s="2" t="inlineStr">
        <is>
          <t>Regno Unito</t>
        </is>
      </c>
      <c r="Y179" s="2" t="inlineStr">
        <is>
          <t>Inglese</t>
        </is>
      </c>
      <c r="Z179" s="7" t="inlineStr">
        <is>
          <t>https://www.parkinsons.org.uk/research/researchers</t>
        </is>
      </c>
      <c r="AA179" s="3" t="n"/>
      <c r="AB179" s="2" t="inlineStr">
        <is>
          <t>Scadenza da verificare</t>
        </is>
      </c>
      <c r="AC179" s="5" t="n">
        <v>46312</v>
      </c>
      <c r="AD179" s="5" t="n">
        <v>46312</v>
      </c>
      <c r="AE179" s="2" t="n"/>
    </row>
    <row r="180">
      <c r="A180" s="2" t="inlineStr">
        <is>
          <t>WEB-72cbdd3b13f6</t>
        </is>
      </c>
      <c r="B180" s="2" t="inlineStr">
        <is>
          <t>Parkinson's UK</t>
        </is>
      </c>
      <c r="C180" s="2" t="inlineStr">
        <is>
          <t>We're investing over £280,000 to accelerate the development of new Parkinson's drugs</t>
        </is>
      </c>
      <c r="D180" s="2" t="inlineStr">
        <is>
          <t>Parkinson's UK</t>
        </is>
      </c>
      <c r="E180" s="3" t="inlineStr">
        <is>
          <t>We're investing over £280,000 to accelerate the development of new Parkinson's drugs</t>
        </is>
      </c>
      <c r="F180" s="3" t="inlineStr">
        <is>
          <t>We're investing over £280,000 to accelerate the development of new Parkinson's drugs</t>
        </is>
      </c>
      <c r="G180" s="2" t="inlineStr">
        <is>
          <t>Parkinson</t>
        </is>
      </c>
      <c r="H180" s="2" t="inlineStr">
        <is>
          <t>parkinson</t>
        </is>
      </c>
      <c r="I180" s="2" t="inlineStr">
        <is>
          <t>Non analizzato</t>
        </is>
      </c>
      <c r="J180" s="3" t="n"/>
      <c r="K180" s="4" t="n">
        <v>280000</v>
      </c>
      <c r="L180" s="4" t="n"/>
      <c r="M180" s="2" t="inlineStr">
        <is>
          <t>GBP</t>
        </is>
      </c>
      <c r="N180" s="2" t="n"/>
      <c r="O180" s="3" t="inlineStr">
        <is>
          <t>Non stimabile – dati insufficienti</t>
        </is>
      </c>
      <c r="P180" s="3" t="inlineStr">
        <is>
          <t>Non indicato</t>
        </is>
      </c>
      <c r="Q180" s="5" t="n"/>
      <c r="R180" s="6">
        <f>IF(Q180="","",Q180-TODAY())</f>
        <v/>
      </c>
      <c r="S180" s="5" t="n"/>
      <c r="T180" s="2" t="n"/>
      <c r="U180" s="2" t="n"/>
      <c r="V180" s="3" t="n"/>
      <c r="W180" s="3" t="n"/>
      <c r="X180" s="2" t="inlineStr">
        <is>
          <t>Regno Unito</t>
        </is>
      </c>
      <c r="Y180" s="2" t="inlineStr">
        <is>
          <t>Inglese</t>
        </is>
      </c>
      <c r="Z180" s="7" t="inlineStr">
        <is>
          <t>https://www.parkinsons.org.uk/news/2026/were-investing-over-ps280000-to-accelerate-development-new-parkinsons-drugs</t>
        </is>
      </c>
      <c r="AA180" s="3" t="n"/>
      <c r="AB180" s="2" t="inlineStr">
        <is>
          <t>Scadenza da verificare</t>
        </is>
      </c>
      <c r="AC180" s="5" t="n">
        <v>46312</v>
      </c>
      <c r="AD180" s="5" t="n">
        <v>46312</v>
      </c>
      <c r="AE180" s="2" t="n"/>
    </row>
    <row r="181">
      <c r="A181" s="2" t="inlineStr">
        <is>
          <t>WEB-cd0026aac9d1</t>
        </is>
      </c>
      <c r="B181" s="2" t="inlineStr">
        <is>
          <t>Parkinson's UK</t>
        </is>
      </c>
      <c r="C181" s="2" t="inlineStr">
        <is>
          <t>The Community Awards</t>
        </is>
      </c>
      <c r="D181" s="2" t="inlineStr">
        <is>
          <t>Parkinson's UK</t>
        </is>
      </c>
      <c r="E181" s="3" t="inlineStr">
        <is>
          <t>The Community Awards</t>
        </is>
      </c>
      <c r="F181" s="3" t="inlineStr">
        <is>
          <t>The Community Awards</t>
        </is>
      </c>
      <c r="G181" s="2" t="inlineStr">
        <is>
          <t>Parkinson</t>
        </is>
      </c>
      <c r="H181" s="2" t="inlineStr">
        <is>
          <t>parkinson</t>
        </is>
      </c>
      <c r="I181" s="2" t="inlineStr">
        <is>
          <t>Non analizzato</t>
        </is>
      </c>
      <c r="J181" s="3" t="n"/>
      <c r="K181" s="4" t="n"/>
      <c r="L181" s="4" t="n"/>
      <c r="M181" s="2" t="n"/>
      <c r="N181" s="2" t="n"/>
      <c r="O181" s="3" t="inlineStr">
        <is>
          <t>Non stimabile – dati insufficienti</t>
        </is>
      </c>
      <c r="P181" s="3" t="inlineStr">
        <is>
          <t>Non indicato</t>
        </is>
      </c>
      <c r="Q181" s="5" t="n"/>
      <c r="R181" s="6">
        <f>IF(Q181="","",Q181-TODAY())</f>
        <v/>
      </c>
      <c r="S181" s="5" t="n"/>
      <c r="T181" s="2" t="n"/>
      <c r="U181" s="2" t="n"/>
      <c r="V181" s="3" t="n"/>
      <c r="W181" s="3" t="n"/>
      <c r="X181" s="2" t="inlineStr">
        <is>
          <t>Regno Unito</t>
        </is>
      </c>
      <c r="Y181" s="2" t="inlineStr">
        <is>
          <t>Inglese</t>
        </is>
      </c>
      <c r="Z181" s="7" t="inlineStr">
        <is>
          <t>https://www.parkinsons.org.uk/community/awards</t>
        </is>
      </c>
      <c r="AA181" s="3" t="n"/>
      <c r="AB181" s="2" t="inlineStr">
        <is>
          <t>Scadenza da verificare</t>
        </is>
      </c>
      <c r="AC181" s="5" t="n">
        <v>46312</v>
      </c>
      <c r="AD181" s="5" t="n">
        <v>46312</v>
      </c>
      <c r="AE181" s="2" t="n"/>
    </row>
    <row r="182">
      <c r="A182" s="2" t="inlineStr">
        <is>
          <t>WEB-c2a48185fa75</t>
        </is>
      </c>
      <c r="B182" s="2" t="inlineStr">
        <is>
          <t>Parkinson's UK</t>
        </is>
      </c>
      <c r="C182" s="2" t="inlineStr">
        <is>
          <t>Support for your research meetings</t>
        </is>
      </c>
      <c r="D182" s="2" t="inlineStr">
        <is>
          <t>Parkinson's UK</t>
        </is>
      </c>
      <c r="E182" s="3" t="inlineStr">
        <is>
          <t>Support for your research meetings</t>
        </is>
      </c>
      <c r="F182" s="3" t="inlineStr">
        <is>
          <t>Support for your research meetings</t>
        </is>
      </c>
      <c r="G182" s="2" t="inlineStr">
        <is>
          <t>Parkinson</t>
        </is>
      </c>
      <c r="H182" s="2" t="inlineStr">
        <is>
          <t>parkinson</t>
        </is>
      </c>
      <c r="I182" s="2" t="inlineStr">
        <is>
          <t>Non analizzato</t>
        </is>
      </c>
      <c r="J182" s="3" t="n"/>
      <c r="K182" s="4" t="n">
        <v>2500</v>
      </c>
      <c r="L182" s="4" t="n"/>
      <c r="M182" s="2" t="inlineStr">
        <is>
          <t>GBP</t>
        </is>
      </c>
      <c r="N182" s="2" t="n"/>
      <c r="O182" s="3" t="inlineStr">
        <is>
          <t>Non stimabile – dati insufficienti</t>
        </is>
      </c>
      <c r="P182" s="3" t="inlineStr">
        <is>
          <t>Non indicato</t>
        </is>
      </c>
      <c r="Q182" s="5" t="n"/>
      <c r="R182" s="6">
        <f>IF(Q182="","",Q182-TODAY())</f>
        <v/>
      </c>
      <c r="S182" s="5" t="n"/>
      <c r="T182" s="2" t="n"/>
      <c r="U182" s="2" t="n"/>
      <c r="V182" s="3" t="n"/>
      <c r="W182" s="3" t="n"/>
      <c r="X182" s="2" t="inlineStr">
        <is>
          <t>Regno Unito</t>
        </is>
      </c>
      <c r="Y182" s="2" t="inlineStr">
        <is>
          <t>Inglese</t>
        </is>
      </c>
      <c r="Z182" s="7" t="inlineStr">
        <is>
          <t>https://www.parkinsons.org.uk/research/funding-grants/support-your-research-meetings</t>
        </is>
      </c>
      <c r="AA182" s="3" t="n"/>
      <c r="AB182" s="2" t="inlineStr">
        <is>
          <t>Scadenza da verificare</t>
        </is>
      </c>
      <c r="AC182" s="5" t="n">
        <v>46312</v>
      </c>
      <c r="AD182" s="5" t="n">
        <v>46312</v>
      </c>
      <c r="AE182" s="2" t="n"/>
    </row>
    <row r="183">
      <c r="A183" s="2" t="inlineStr">
        <is>
          <t>WEB-652379f6d9fa</t>
        </is>
      </c>
      <c r="B183" s="2" t="inlineStr">
        <is>
          <t>Parkinson's UK</t>
        </is>
      </c>
      <c r="C183" s="2" t="inlineStr">
        <is>
          <t>Support and information for grants</t>
        </is>
      </c>
      <c r="D183" s="2" t="inlineStr">
        <is>
          <t>Parkinson's UK</t>
        </is>
      </c>
      <c r="E183" s="3" t="inlineStr">
        <is>
          <t>Support and information for grants</t>
        </is>
      </c>
      <c r="F183" s="3" t="inlineStr">
        <is>
          <t>Support and information for grants</t>
        </is>
      </c>
      <c r="G183" s="2" t="inlineStr">
        <is>
          <t>Parkinson</t>
        </is>
      </c>
      <c r="H183" s="2" t="inlineStr">
        <is>
          <t>parkinson</t>
        </is>
      </c>
      <c r="I183" s="2" t="inlineStr">
        <is>
          <t>Non analizzato</t>
        </is>
      </c>
      <c r="J183" s="3" t="n"/>
      <c r="K183" s="4" t="n"/>
      <c r="L183" s="4" t="n"/>
      <c r="M183" s="2" t="n"/>
      <c r="N183" s="2" t="n"/>
      <c r="O183" s="3" t="inlineStr">
        <is>
          <t>Non stimabile – dati insufficienti</t>
        </is>
      </c>
      <c r="P183" s="3" t="inlineStr">
        <is>
          <t>Non indicato</t>
        </is>
      </c>
      <c r="Q183" s="5" t="n"/>
      <c r="R183" s="6">
        <f>IF(Q183="","",Q183-TODAY())</f>
        <v/>
      </c>
      <c r="S183" s="5" t="n"/>
      <c r="T183" s="2" t="n"/>
      <c r="U183" s="2" t="n"/>
      <c r="V183" s="3" t="n"/>
      <c r="W183" s="3" t="n"/>
      <c r="X183" s="2" t="inlineStr">
        <is>
          <t>Regno Unito</t>
        </is>
      </c>
      <c r="Y183" s="2" t="inlineStr">
        <is>
          <t>Inglese</t>
        </is>
      </c>
      <c r="Z183" s="7" t="inlineStr">
        <is>
          <t>https://www.parkinsons.org.uk/research/funding-grants/policies</t>
        </is>
      </c>
      <c r="AA183" s="3" t="n"/>
      <c r="AB183" s="2" t="inlineStr">
        <is>
          <t>Scadenza da verificare</t>
        </is>
      </c>
      <c r="AC183" s="5" t="n">
        <v>46312</v>
      </c>
      <c r="AD183" s="5" t="n">
        <v>46312</v>
      </c>
      <c r="AE183" s="2" t="n"/>
    </row>
    <row r="184">
      <c r="A184" s="2" t="inlineStr">
        <is>
          <t>WEB-26a7ffacb785</t>
        </is>
      </c>
      <c r="B184" s="2" t="inlineStr">
        <is>
          <t>Alzheimer's Society</t>
        </is>
      </c>
      <c r="C184" s="2" t="inlineStr">
        <is>
          <t>What research are we supporting?</t>
        </is>
      </c>
      <c r="D184" s="2" t="inlineStr">
        <is>
          <t>Alzheimer's Society</t>
        </is>
      </c>
      <c r="E184" s="3" t="inlineStr">
        <is>
          <t>What research are we supporting?</t>
        </is>
      </c>
      <c r="F184" s="3" t="inlineStr">
        <is>
          <t>What research are we supporting?</t>
        </is>
      </c>
      <c r="G184" s="2" t="inlineStr">
        <is>
          <t>Invecchiamento</t>
        </is>
      </c>
      <c r="H184" s="2" t="inlineStr">
        <is>
          <t>dementi, alzheimer, aging</t>
        </is>
      </c>
      <c r="I184" s="2" t="inlineStr">
        <is>
          <t>Non analizzato</t>
        </is>
      </c>
      <c r="J184" s="3" t="n"/>
      <c r="K184" s="4" t="n"/>
      <c r="L184" s="4" t="n"/>
      <c r="M184" s="2" t="n"/>
      <c r="N184" s="2" t="n"/>
      <c r="O184" s="3" t="inlineStr">
        <is>
          <t>Non stimabile – dati insufficienti</t>
        </is>
      </c>
      <c r="P184" s="3" t="inlineStr">
        <is>
          <t>Non indicato</t>
        </is>
      </c>
      <c r="Q184" s="5" t="n"/>
      <c r="R184" s="6">
        <f>IF(Q184="","",Q184-TODAY())</f>
        <v/>
      </c>
      <c r="S184" s="5" t="n"/>
      <c r="T184" s="2" t="n"/>
      <c r="U184" s="2" t="n"/>
      <c r="V184" s="3" t="n"/>
      <c r="W184" s="3" t="n"/>
      <c r="X184" s="2" t="inlineStr">
        <is>
          <t>Regno Unito</t>
        </is>
      </c>
      <c r="Y184" s="2" t="inlineStr">
        <is>
          <t>Inglese</t>
        </is>
      </c>
      <c r="Z184" s="7" t="inlineStr">
        <is>
          <t>https://www.alzheimers.org.uk/research/our-research/what-research-alzheimers-society-funding</t>
        </is>
      </c>
      <c r="AA184" s="3" t="n"/>
      <c r="AB184" s="2" t="inlineStr">
        <is>
          <t>Scadenza da verificare</t>
        </is>
      </c>
      <c r="AC184" s="5" t="n">
        <v>46312</v>
      </c>
      <c r="AD184" s="5" t="n">
        <v>46312</v>
      </c>
      <c r="AE184" s="2" t="n"/>
    </row>
    <row r="185">
      <c r="A185" s="2" t="inlineStr">
        <is>
          <t>WEB-c22a85799878</t>
        </is>
      </c>
      <c r="B185" s="2" t="inlineStr">
        <is>
          <t>Alzheimer's Society</t>
        </is>
      </c>
      <c r="C185" s="2" t="inlineStr">
        <is>
          <t>Our Dementia Research Leaders programme</t>
        </is>
      </c>
      <c r="D185" s="2" t="inlineStr">
        <is>
          <t>Alzheimer's Society</t>
        </is>
      </c>
      <c r="E185" s="3" t="inlineStr">
        <is>
          <t>Our Dementia Research Leaders programme</t>
        </is>
      </c>
      <c r="F185" s="3" t="inlineStr">
        <is>
          <t>Our Dementia Research Leaders programme</t>
        </is>
      </c>
      <c r="G185" s="2" t="inlineStr">
        <is>
          <t>Invecchiamento</t>
        </is>
      </c>
      <c r="H185" s="2" t="inlineStr">
        <is>
          <t>dementi, alzheimer</t>
        </is>
      </c>
      <c r="I185" s="2" t="inlineStr">
        <is>
          <t>Non analizzato</t>
        </is>
      </c>
      <c r="J185" s="3" t="n"/>
      <c r="K185" s="4" t="n">
        <v>550000</v>
      </c>
      <c r="L185" s="4" t="n"/>
      <c r="M185" s="2" t="inlineStr">
        <is>
          <t>GBP</t>
        </is>
      </c>
      <c r="N185" s="2" t="n"/>
      <c r="O185" s="3" t="inlineStr">
        <is>
          <t>Non stimabile – dati insufficienti</t>
        </is>
      </c>
      <c r="P185" s="3" t="inlineStr">
        <is>
          <t>Non indicato</t>
        </is>
      </c>
      <c r="Q185" s="5" t="n"/>
      <c r="R185" s="6">
        <f>IF(Q185="","",Q185-TODAY())</f>
        <v/>
      </c>
      <c r="S185" s="5" t="n"/>
      <c r="T185" s="2" t="n"/>
      <c r="U185" s="2" t="n"/>
      <c r="V185" s="3" t="n"/>
      <c r="W185" s="3" t="n"/>
      <c r="X185" s="2" t="inlineStr">
        <is>
          <t>Regno Unito</t>
        </is>
      </c>
      <c r="Y185" s="2" t="inlineStr">
        <is>
          <t>Inglese</t>
        </is>
      </c>
      <c r="Z185" s="7" t="inlineStr">
        <is>
          <t>https://www.alzheimers.org.uk/research/researchers/our-funding-schemes/our-dementia-research-leaders-programme</t>
        </is>
      </c>
      <c r="AA185" s="3" t="n"/>
      <c r="AB185" s="2" t="inlineStr">
        <is>
          <t>Scadenza da verificare</t>
        </is>
      </c>
      <c r="AC185" s="5" t="n">
        <v>46312</v>
      </c>
      <c r="AD185" s="5" t="n">
        <v>46312</v>
      </c>
      <c r="AE185" s="2" t="n"/>
    </row>
    <row r="186">
      <c r="A186" s="2" t="inlineStr">
        <is>
          <t>WEB-528fe5f955ab</t>
        </is>
      </c>
      <c r="B186" s="2" t="inlineStr">
        <is>
          <t>Alzheimer's Society</t>
        </is>
      </c>
      <c r="C186" s="2" t="inlineStr">
        <is>
          <t>Dementia Network Plus</t>
        </is>
      </c>
      <c r="D186" s="2" t="inlineStr">
        <is>
          <t>Alzheimer's Society</t>
        </is>
      </c>
      <c r="E186" s="3" t="inlineStr">
        <is>
          <t>Dementia Network Plus</t>
        </is>
      </c>
      <c r="F186" s="3" t="inlineStr">
        <is>
          <t>Dementia Network Plus</t>
        </is>
      </c>
      <c r="G186" s="2" t="inlineStr">
        <is>
          <t>Invecchiamento</t>
        </is>
      </c>
      <c r="H186" s="2" t="inlineStr">
        <is>
          <t>dementi, alzheimer</t>
        </is>
      </c>
      <c r="I186" s="2" t="inlineStr">
        <is>
          <t>Non analizzato</t>
        </is>
      </c>
      <c r="J186" s="3" t="n"/>
      <c r="K186" s="4" t="n"/>
      <c r="L186" s="4" t="n"/>
      <c r="M186" s="2" t="n"/>
      <c r="N186" s="2" t="n"/>
      <c r="O186" s="3" t="inlineStr">
        <is>
          <t>Non stimabile – dati insufficienti</t>
        </is>
      </c>
      <c r="P186" s="3" t="inlineStr">
        <is>
          <t>Non indicato</t>
        </is>
      </c>
      <c r="Q186" s="5" t="n"/>
      <c r="R186" s="6">
        <f>IF(Q186="","",Q186-TODAY())</f>
        <v/>
      </c>
      <c r="S186" s="5" t="n"/>
      <c r="T186" s="2" t="n"/>
      <c r="U186" s="2" t="n"/>
      <c r="V186" s="3" t="n"/>
      <c r="W186" s="3" t="n"/>
      <c r="X186" s="2" t="inlineStr">
        <is>
          <t>Regno Unito</t>
        </is>
      </c>
      <c r="Y186" s="2" t="inlineStr">
        <is>
          <t>Inglese</t>
        </is>
      </c>
      <c r="Z186" s="7" t="inlineStr">
        <is>
          <t>https://www.alzheimers.org.uk/research/researchers/our-funding-schemes/Dementia-Network-Plus</t>
        </is>
      </c>
      <c r="AA186" s="3" t="n"/>
      <c r="AB186" s="2" t="inlineStr">
        <is>
          <t>Scadenza da verificare</t>
        </is>
      </c>
      <c r="AC186" s="5" t="n">
        <v>46312</v>
      </c>
      <c r="AD186" s="5" t="n">
        <v>46312</v>
      </c>
      <c r="AE186" s="2" t="n"/>
    </row>
    <row r="187">
      <c r="A187" s="2" t="inlineStr">
        <is>
          <t>WEB-1a27375931de</t>
        </is>
      </c>
      <c r="B187" s="2" t="inlineStr">
        <is>
          <t>Alzheimer's Society</t>
        </is>
      </c>
      <c r="C187" s="2" t="inlineStr">
        <is>
          <t>Marie Curie and Alzheimer’s Society partnership: end of life care in dementia</t>
        </is>
      </c>
      <c r="D187" s="2" t="inlineStr">
        <is>
          <t>Alzheimer's Society</t>
        </is>
      </c>
      <c r="E187" s="3" t="inlineStr">
        <is>
          <t>Marie Curie and Alzheimer’s Society partnership: end of life care in dementia</t>
        </is>
      </c>
      <c r="F187" s="3" t="inlineStr">
        <is>
          <t>Marie Curie and Alzheimer’s Society partnership: end of life care in dementia</t>
        </is>
      </c>
      <c r="G187" s="2" t="inlineStr">
        <is>
          <t>Invecchiamento</t>
        </is>
      </c>
      <c r="H187" s="2" t="inlineStr">
        <is>
          <t>dementi, alzheimer</t>
        </is>
      </c>
      <c r="I187" s="2" t="inlineStr">
        <is>
          <t>Non analizzato</t>
        </is>
      </c>
      <c r="J187" s="3" t="n"/>
      <c r="K187" s="4" t="n">
        <v>203314</v>
      </c>
      <c r="L187" s="4" t="n"/>
      <c r="M187" s="2" t="inlineStr">
        <is>
          <t>GBP</t>
        </is>
      </c>
      <c r="N187" s="2" t="n"/>
      <c r="O187" s="3" t="inlineStr">
        <is>
          <t>Non stimabile – dati insufficienti</t>
        </is>
      </c>
      <c r="P187" s="3" t="inlineStr">
        <is>
          <t>Non indicato</t>
        </is>
      </c>
      <c r="Q187" s="5" t="n"/>
      <c r="R187" s="6">
        <f>IF(Q187="","",Q187-TODAY())</f>
        <v/>
      </c>
      <c r="S187" s="5" t="n"/>
      <c r="T187" s="2" t="n"/>
      <c r="U187" s="2" t="n"/>
      <c r="V187" s="3" t="n"/>
      <c r="W187" s="3" t="n"/>
      <c r="X187" s="2" t="inlineStr">
        <is>
          <t>Regno Unito</t>
        </is>
      </c>
      <c r="Y187" s="2" t="inlineStr">
        <is>
          <t>Inglese</t>
        </is>
      </c>
      <c r="Z187" s="7" t="inlineStr">
        <is>
          <t>https://www.alzheimers.org.uk/research/researchers/grants/marie-curie-research-grants-scheme</t>
        </is>
      </c>
      <c r="AA187" s="3" t="n"/>
      <c r="AB187" s="2" t="inlineStr">
        <is>
          <t>Scadenza da verificare</t>
        </is>
      </c>
      <c r="AC187" s="5" t="n">
        <v>46312</v>
      </c>
      <c r="AD187" s="5" t="n">
        <v>46312</v>
      </c>
      <c r="AE187" s="2" t="n"/>
    </row>
    <row r="188">
      <c r="A188" s="2" t="inlineStr">
        <is>
          <t>WEB-680e0700594c</t>
        </is>
      </c>
      <c r="B188" s="2" t="inlineStr">
        <is>
          <t>Alzheimer's Society</t>
        </is>
      </c>
      <c r="C188" s="2" t="inlineStr">
        <is>
          <t>Global Brain Health Institute</t>
        </is>
      </c>
      <c r="D188" s="2" t="inlineStr">
        <is>
          <t>Alzheimer's Society</t>
        </is>
      </c>
      <c r="E188" s="3" t="inlineStr">
        <is>
          <t>Global Brain Health Institute</t>
        </is>
      </c>
      <c r="F188" s="3" t="inlineStr">
        <is>
          <t>Global Brain Health Institute</t>
        </is>
      </c>
      <c r="G188" s="2" t="inlineStr">
        <is>
          <t>Invecchiamento</t>
        </is>
      </c>
      <c r="H188" s="2" t="inlineStr">
        <is>
          <t>dementi, alzheimer, aging</t>
        </is>
      </c>
      <c r="I188" s="2" t="inlineStr">
        <is>
          <t>Non analizzato</t>
        </is>
      </c>
      <c r="J188" s="3" t="n"/>
      <c r="K188" s="4" t="n"/>
      <c r="L188" s="4" t="n"/>
      <c r="M188" s="2" t="n"/>
      <c r="N188" s="2" t="n"/>
      <c r="O188" s="3" t="inlineStr">
        <is>
          <t>Non stimabile – dati insufficienti</t>
        </is>
      </c>
      <c r="P188" s="3" t="inlineStr">
        <is>
          <t>Non indicato</t>
        </is>
      </c>
      <c r="Q188" s="5" t="n"/>
      <c r="R188" s="6">
        <f>IF(Q188="","",Q188-TODAY())</f>
        <v/>
      </c>
      <c r="S188" s="5" t="n"/>
      <c r="T188" s="2" t="n"/>
      <c r="U188" s="2" t="n"/>
      <c r="V188" s="3" t="n"/>
      <c r="W188" s="3" t="n"/>
      <c r="X188" s="2" t="inlineStr">
        <is>
          <t>Regno Unito</t>
        </is>
      </c>
      <c r="Y188" s="2" t="inlineStr">
        <is>
          <t>Inglese</t>
        </is>
      </c>
      <c r="Z188" s="7" t="inlineStr">
        <is>
          <t>https://www.alzheimers.org.uk/research/researchers/our-funding-schemes/GBHI</t>
        </is>
      </c>
      <c r="AA188" s="3" t="n"/>
      <c r="AB188" s="2" t="inlineStr">
        <is>
          <t>Scadenza da verificare</t>
        </is>
      </c>
      <c r="AC188" s="5" t="n">
        <v>46312</v>
      </c>
      <c r="AD188" s="5" t="n">
        <v>46312</v>
      </c>
      <c r="AE188" s="2" t="n"/>
    </row>
    <row r="189">
      <c r="A189" s="2" t="inlineStr">
        <is>
          <t>WEB-d9927bbca257</t>
        </is>
      </c>
      <c r="B189" s="2" t="inlineStr">
        <is>
          <t>Dunhill Medical Trust</t>
        </is>
      </c>
      <c r="C189" s="2" t="inlineStr">
        <is>
          <t>26 09 Vivensa Foundation Excellence Awards guidelines 1</t>
        </is>
      </c>
      <c r="D189" s="2" t="inlineStr">
        <is>
          <t>Dunhill Medical Trust</t>
        </is>
      </c>
      <c r="E189" s="3" t="inlineStr">
        <is>
          <t>26 09 Vivensa Foundation Excellence Awards guidelines 1</t>
        </is>
      </c>
      <c r="F189" s="3" t="inlineStr">
        <is>
          <t>26 09 Vivensa Foundation Excellence Awards guidelines 1</t>
        </is>
      </c>
      <c r="G189" s="2" t="inlineStr">
        <is>
          <t>Invecchiamento</t>
        </is>
      </c>
      <c r="H189" s="2" t="inlineStr">
        <is>
          <t>older adults, ageing</t>
        </is>
      </c>
      <c r="I189" s="2" t="inlineStr">
        <is>
          <t>Non analizzato</t>
        </is>
      </c>
      <c r="J189" s="3" t="n"/>
      <c r="K189" s="4" t="n"/>
      <c r="L189" s="4" t="n"/>
      <c r="M189" s="2" t="n"/>
      <c r="N189" s="2" t="n"/>
      <c r="O189" s="3" t="inlineStr">
        <is>
          <t>Non stimabile – dati insufficienti</t>
        </is>
      </c>
      <c r="P189" s="3" t="inlineStr">
        <is>
          <t>Non indicato</t>
        </is>
      </c>
      <c r="Q189" s="5" t="n"/>
      <c r="R189" s="6">
        <f>IF(Q189="","",Q189-TODAY())</f>
        <v/>
      </c>
      <c r="S189" s="5" t="n"/>
      <c r="T189" s="2" t="n"/>
      <c r="U189" s="2" t="n"/>
      <c r="V189" s="3" t="n"/>
      <c r="W189" s="3" t="n"/>
      <c r="X189" s="2" t="inlineStr">
        <is>
          <t>Regno Unito</t>
        </is>
      </c>
      <c r="Y189" s="2" t="inlineStr">
        <is>
          <t>Inglese</t>
        </is>
      </c>
      <c r="Z189" s="7" t="inlineStr">
        <is>
          <t>https://vivensafoundation.org.uk/wp-content/uploads/2026/09/26-09-Vivensa-Foundation-Excellence-Awards_guidelines-1.pdf</t>
        </is>
      </c>
      <c r="AA189" s="3" t="n"/>
      <c r="AB189" s="2" t="inlineStr">
        <is>
          <t>Scadenza da verificare</t>
        </is>
      </c>
      <c r="AC189" s="5" t="n">
        <v>46312</v>
      </c>
      <c r="AD189" s="5" t="n">
        <v>46312</v>
      </c>
      <c r="AE189" s="2" t="n"/>
    </row>
    <row r="190">
      <c r="A190" s="2" t="inlineStr">
        <is>
          <t>WEB-4b4b9c8907b2</t>
        </is>
      </c>
      <c r="B190" s="2" t="inlineStr">
        <is>
          <t>Dunhill Medical Trust</t>
        </is>
      </c>
      <c r="C190" s="2" t="inlineStr">
        <is>
          <t>25 09 Vivensa Foundation Excellence Awards guidelines FINAL</t>
        </is>
      </c>
      <c r="D190" s="2" t="inlineStr">
        <is>
          <t>Dunhill Medical Trust</t>
        </is>
      </c>
      <c r="E190" s="3" t="inlineStr">
        <is>
          <t>25 09 Vivensa Foundation Excellence Awards guidelines FINAL</t>
        </is>
      </c>
      <c r="F190" s="3" t="inlineStr">
        <is>
          <t>25 09 Vivensa Foundation Excellence Awards guidelines FINAL</t>
        </is>
      </c>
      <c r="G190" s="2" t="inlineStr">
        <is>
          <t>Invecchiamento</t>
        </is>
      </c>
      <c r="H190" s="2" t="inlineStr">
        <is>
          <t>older people, ageing</t>
        </is>
      </c>
      <c r="I190" s="2" t="inlineStr">
        <is>
          <t>Non analizzato</t>
        </is>
      </c>
      <c r="J190" s="3" t="n"/>
      <c r="K190" s="4" t="n"/>
      <c r="L190" s="4" t="n"/>
      <c r="M190" s="2" t="n"/>
      <c r="N190" s="2" t="n"/>
      <c r="O190" s="3" t="inlineStr">
        <is>
          <t>Non stimabile – dati insufficienti</t>
        </is>
      </c>
      <c r="P190" s="3" t="inlineStr">
        <is>
          <t>Non indicato</t>
        </is>
      </c>
      <c r="Q190" s="5" t="n"/>
      <c r="R190" s="6">
        <f>IF(Q190="","",Q190-TODAY())</f>
        <v/>
      </c>
      <c r="S190" s="5" t="n"/>
      <c r="T190" s="2" t="n"/>
      <c r="U190" s="2" t="n"/>
      <c r="V190" s="3" t="n"/>
      <c r="W190" s="3" t="n"/>
      <c r="X190" s="2" t="inlineStr">
        <is>
          <t>Regno Unito</t>
        </is>
      </c>
      <c r="Y190" s="2" t="inlineStr">
        <is>
          <t>Inglese</t>
        </is>
      </c>
      <c r="Z190" s="7" t="inlineStr">
        <is>
          <t>https://vivensafoundation.org.uk/wp-content/uploads/2025/09/25-09-Vivensa-Foundation-Excellence-Awards_guidelines-FINAL.pdf</t>
        </is>
      </c>
      <c r="AA190" s="3" t="n"/>
      <c r="AB190" s="2" t="inlineStr">
        <is>
          <t>Scadenza da verificare</t>
        </is>
      </c>
      <c r="AC190" s="5" t="n">
        <v>46312</v>
      </c>
      <c r="AD190" s="5" t="n">
        <v>46312</v>
      </c>
      <c r="AE190" s="2" t="n"/>
    </row>
    <row r="191">
      <c r="A191" s="2" t="inlineStr">
        <is>
          <t>WEB-59cf819d69fd</t>
        </is>
      </c>
      <c r="B191" s="2" t="inlineStr">
        <is>
          <t>Dunhill Medical Trust</t>
        </is>
      </c>
      <c r="C191" s="2" t="inlineStr">
        <is>
          <t>Excellence Awards Rising Star self nomination template form</t>
        </is>
      </c>
      <c r="D191" s="2" t="inlineStr">
        <is>
          <t>Dunhill Medical Trust</t>
        </is>
      </c>
      <c r="E191" s="3" t="inlineStr">
        <is>
          <t>Excellence Awards Rising Star self nomination template form</t>
        </is>
      </c>
      <c r="F191" s="3" t="inlineStr">
        <is>
          <t>Excellence Awards Rising Star self nomination template form</t>
        </is>
      </c>
      <c r="G191" s="2" t="inlineStr">
        <is>
          <t>Invecchiamento</t>
        </is>
      </c>
      <c r="H191" s="2" t="inlineStr">
        <is>
          <t>older people, ageing</t>
        </is>
      </c>
      <c r="I191" s="2" t="inlineStr">
        <is>
          <t>Non analizzato</t>
        </is>
      </c>
      <c r="J191" s="3" t="n"/>
      <c r="K191" s="4" t="n">
        <v>120000</v>
      </c>
      <c r="L191" s="4" t="n"/>
      <c r="M191" s="2" t="inlineStr">
        <is>
          <t>GBP</t>
        </is>
      </c>
      <c r="N191" s="2" t="n"/>
      <c r="O191" s="3" t="inlineStr">
        <is>
          <t>Non stimabile – dati insufficienti</t>
        </is>
      </c>
      <c r="P191" s="3" t="inlineStr">
        <is>
          <t>Non indicato</t>
        </is>
      </c>
      <c r="Q191" s="5" t="n"/>
      <c r="R191" s="6">
        <f>IF(Q191="","",Q191-TODAY())</f>
        <v/>
      </c>
      <c r="S191" s="5" t="n"/>
      <c r="T191" s="2" t="n"/>
      <c r="U191" s="2" t="n"/>
      <c r="V191" s="3" t="n"/>
      <c r="W191" s="3" t="n"/>
      <c r="X191" s="2" t="inlineStr">
        <is>
          <t>Regno Unito</t>
        </is>
      </c>
      <c r="Y191" s="2" t="inlineStr">
        <is>
          <t>Inglese</t>
        </is>
      </c>
      <c r="Z191" s="7" t="inlineStr">
        <is>
          <t>https://vivensafoundation.org.uk/wp-content/uploads/2026/09/Excellence-Awards_Rising-Star_self-nomination_template-form.pdf</t>
        </is>
      </c>
      <c r="AA191" s="3" t="n"/>
      <c r="AB191" s="2" t="inlineStr">
        <is>
          <t>Scadenza da verificare</t>
        </is>
      </c>
      <c r="AC191" s="5" t="n">
        <v>46312</v>
      </c>
      <c r="AD191" s="5" t="n">
        <v>46312</v>
      </c>
      <c r="AE191" s="2" t="n"/>
    </row>
    <row r="192">
      <c r="A192" s="2" t="inlineStr">
        <is>
          <t>WEB-b133620a1e26</t>
        </is>
      </c>
      <c r="B192" s="2" t="inlineStr">
        <is>
          <t>Dunhill Medical Trust</t>
        </is>
      </c>
      <c r="C192" s="2" t="inlineStr">
        <is>
          <t>Excellence Awards Senior Leader self nomination template form</t>
        </is>
      </c>
      <c r="D192" s="2" t="inlineStr">
        <is>
          <t>Dunhill Medical Trust</t>
        </is>
      </c>
      <c r="E192" s="3" t="inlineStr">
        <is>
          <t>Excellence Awards Senior Leader self nomination template form</t>
        </is>
      </c>
      <c r="F192" s="3" t="inlineStr">
        <is>
          <t>Excellence Awards Senior Leader self nomination template form</t>
        </is>
      </c>
      <c r="G192" s="2" t="inlineStr">
        <is>
          <t>Invecchiamento</t>
        </is>
      </c>
      <c r="H192" s="2" t="inlineStr">
        <is>
          <t>older people, ageing</t>
        </is>
      </c>
      <c r="I192" s="2" t="inlineStr">
        <is>
          <t>Non analizzato</t>
        </is>
      </c>
      <c r="J192" s="3" t="n"/>
      <c r="K192" s="4" t="n">
        <v>120000</v>
      </c>
      <c r="L192" s="4" t="n"/>
      <c r="M192" s="2" t="inlineStr">
        <is>
          <t>GBP</t>
        </is>
      </c>
      <c r="N192" s="2" t="n"/>
      <c r="O192" s="3" t="inlineStr">
        <is>
          <t>Non stimabile – dati insufficienti</t>
        </is>
      </c>
      <c r="P192" s="3" t="inlineStr">
        <is>
          <t>Non indicato</t>
        </is>
      </c>
      <c r="Q192" s="5" t="n"/>
      <c r="R192" s="6">
        <f>IF(Q192="","",Q192-TODAY())</f>
        <v/>
      </c>
      <c r="S192" s="5" t="n"/>
      <c r="T192" s="2" t="n"/>
      <c r="U192" s="2" t="n"/>
      <c r="V192" s="3" t="n"/>
      <c r="W192" s="3" t="n"/>
      <c r="X192" s="2" t="inlineStr">
        <is>
          <t>Regno Unito</t>
        </is>
      </c>
      <c r="Y192" s="2" t="inlineStr">
        <is>
          <t>Inglese</t>
        </is>
      </c>
      <c r="Z192" s="7" t="inlineStr">
        <is>
          <t>https://vivensafoundation.org.uk/wp-content/uploads/2026/09/Excellence-Awards_Senior-Leader_self-nomination_template-form.pdf</t>
        </is>
      </c>
      <c r="AA192" s="3" t="n"/>
      <c r="AB192" s="2" t="inlineStr">
        <is>
          <t>Scadenza da verificare</t>
        </is>
      </c>
      <c r="AC192" s="5" t="n">
        <v>46312</v>
      </c>
      <c r="AD192" s="5" t="n">
        <v>46312</v>
      </c>
      <c r="AE192" s="2" t="n"/>
    </row>
    <row r="193">
      <c r="A193" s="2" t="inlineStr">
        <is>
          <t>WEB-66dad966a4a2</t>
        </is>
      </c>
      <c r="B193" s="2" t="inlineStr">
        <is>
          <t>Dunhill Medical Trust</t>
        </is>
      </c>
      <c r="C193" s="2" t="inlineStr">
        <is>
          <t>Excellence Awards Team self nomination template form</t>
        </is>
      </c>
      <c r="D193" s="2" t="inlineStr">
        <is>
          <t>Dunhill Medical Trust</t>
        </is>
      </c>
      <c r="E193" s="3" t="inlineStr">
        <is>
          <t>Excellence Awards Team self nomination template form</t>
        </is>
      </c>
      <c r="F193" s="3" t="inlineStr">
        <is>
          <t>Excellence Awards Team self nomination template form</t>
        </is>
      </c>
      <c r="G193" s="2" t="inlineStr">
        <is>
          <t>Invecchiamento</t>
        </is>
      </c>
      <c r="H193" s="2" t="inlineStr">
        <is>
          <t>older people, ageing</t>
        </is>
      </c>
      <c r="I193" s="2" t="inlineStr">
        <is>
          <t>Non analizzato</t>
        </is>
      </c>
      <c r="J193" s="3" t="n"/>
      <c r="K193" s="4" t="n">
        <v>120000</v>
      </c>
      <c r="L193" s="4" t="n"/>
      <c r="M193" s="2" t="inlineStr">
        <is>
          <t>GBP</t>
        </is>
      </c>
      <c r="N193" s="2" t="n"/>
      <c r="O193" s="3" t="inlineStr">
        <is>
          <t>Non stimabile – dati insufficienti</t>
        </is>
      </c>
      <c r="P193" s="3" t="inlineStr">
        <is>
          <t>Non indicato</t>
        </is>
      </c>
      <c r="Q193" s="5" t="n"/>
      <c r="R193" s="6">
        <f>IF(Q193="","",Q193-TODAY())</f>
        <v/>
      </c>
      <c r="S193" s="5" t="n"/>
      <c r="T193" s="2" t="n"/>
      <c r="U193" s="2" t="n"/>
      <c r="V193" s="3" t="n"/>
      <c r="W193" s="3" t="n"/>
      <c r="X193" s="2" t="inlineStr">
        <is>
          <t>Regno Unito</t>
        </is>
      </c>
      <c r="Y193" s="2" t="inlineStr">
        <is>
          <t>Inglese</t>
        </is>
      </c>
      <c r="Z193" s="7" t="inlineStr">
        <is>
          <t>https://vivensafoundation.org.uk/wp-content/uploads/2026/09/Excellence-Awards_Team_self-nomination_template-form.pdf</t>
        </is>
      </c>
      <c r="AA193" s="3" t="n"/>
      <c r="AB193" s="2" t="inlineStr">
        <is>
          <t>Scadenza da verificare</t>
        </is>
      </c>
      <c r="AC193" s="5" t="n">
        <v>46312</v>
      </c>
      <c r="AD193" s="5" t="n">
        <v>46312</v>
      </c>
      <c r="AE193" s="2" t="n"/>
    </row>
    <row r="194">
      <c r="A194" s="2" t="inlineStr">
        <is>
          <t>WEB-a6ef2e9b1346</t>
        </is>
      </c>
      <c r="B194" s="2" t="inlineStr">
        <is>
          <t>Dunhill Medical Trust</t>
        </is>
      </c>
      <c r="C194" s="2" t="inlineStr">
        <is>
          <t>Excellence Awards Rising Star third party nomination template form</t>
        </is>
      </c>
      <c r="D194" s="2" t="inlineStr">
        <is>
          <t>Dunhill Medical Trust</t>
        </is>
      </c>
      <c r="E194" s="3" t="inlineStr">
        <is>
          <t>Excellence Awards Rising Star third party nomination template form</t>
        </is>
      </c>
      <c r="F194" s="3" t="inlineStr">
        <is>
          <t>Excellence Awards Rising Star third party nomination template form</t>
        </is>
      </c>
      <c r="G194" s="2" t="inlineStr">
        <is>
          <t>Invecchiamento</t>
        </is>
      </c>
      <c r="H194" s="2" t="inlineStr">
        <is>
          <t>older people, ageing</t>
        </is>
      </c>
      <c r="I194" s="2" t="inlineStr">
        <is>
          <t>Non analizzato</t>
        </is>
      </c>
      <c r="J194" s="3" t="n"/>
      <c r="K194" s="4" t="n">
        <v>120000</v>
      </c>
      <c r="L194" s="4" t="n"/>
      <c r="M194" s="2" t="inlineStr">
        <is>
          <t>GBP</t>
        </is>
      </c>
      <c r="N194" s="2" t="n"/>
      <c r="O194" s="3" t="inlineStr">
        <is>
          <t>Non stimabile – dati insufficienti</t>
        </is>
      </c>
      <c r="P194" s="3" t="inlineStr">
        <is>
          <t>Non indicato</t>
        </is>
      </c>
      <c r="Q194" s="5" t="n"/>
      <c r="R194" s="6">
        <f>IF(Q194="","",Q194-TODAY())</f>
        <v/>
      </c>
      <c r="S194" s="5" t="n"/>
      <c r="T194" s="2" t="n"/>
      <c r="U194" s="2" t="n"/>
      <c r="V194" s="3" t="n"/>
      <c r="W194" s="3" t="n"/>
      <c r="X194" s="2" t="inlineStr">
        <is>
          <t>Regno Unito</t>
        </is>
      </c>
      <c r="Y194" s="2" t="inlineStr">
        <is>
          <t>Inglese</t>
        </is>
      </c>
      <c r="Z194" s="7" t="inlineStr">
        <is>
          <t>https://vivensafoundation.org.uk/wp-content/uploads/2026/09/Excellence-Awards_Rising-Star_third-party-nomination_template-form.pdf</t>
        </is>
      </c>
      <c r="AA194" s="3" t="n"/>
      <c r="AB194" s="2" t="inlineStr">
        <is>
          <t>Scadenza da verificare</t>
        </is>
      </c>
      <c r="AC194" s="5" t="n">
        <v>46312</v>
      </c>
      <c r="AD194" s="5" t="n">
        <v>46312</v>
      </c>
      <c r="AE194" s="2" t="n"/>
    </row>
    <row r="195">
      <c r="A195" s="2" t="inlineStr">
        <is>
          <t>WEB-fcf6c64e48ec</t>
        </is>
      </c>
      <c r="B195" s="2" t="inlineStr">
        <is>
          <t>Dunhill Medical Trust</t>
        </is>
      </c>
      <c r="C195" s="2" t="inlineStr">
        <is>
          <t>Excellence Awards Senior Leader third party nomination template form</t>
        </is>
      </c>
      <c r="D195" s="2" t="inlineStr">
        <is>
          <t>Dunhill Medical Trust</t>
        </is>
      </c>
      <c r="E195" s="3" t="inlineStr">
        <is>
          <t>Excellence Awards Senior Leader third party nomination template form</t>
        </is>
      </c>
      <c r="F195" s="3" t="inlineStr">
        <is>
          <t>Excellence Awards Senior Leader third party nomination template form</t>
        </is>
      </c>
      <c r="G195" s="2" t="inlineStr">
        <is>
          <t>Invecchiamento</t>
        </is>
      </c>
      <c r="H195" s="2" t="inlineStr">
        <is>
          <t>older people, ageing</t>
        </is>
      </c>
      <c r="I195" s="2" t="inlineStr">
        <is>
          <t>Non analizzato</t>
        </is>
      </c>
      <c r="J195" s="3" t="n"/>
      <c r="K195" s="4" t="n">
        <v>120000</v>
      </c>
      <c r="L195" s="4" t="n"/>
      <c r="M195" s="2" t="inlineStr">
        <is>
          <t>GBP</t>
        </is>
      </c>
      <c r="N195" s="2" t="n"/>
      <c r="O195" s="3" t="inlineStr">
        <is>
          <t>Non stimabile – dati insufficienti</t>
        </is>
      </c>
      <c r="P195" s="3" t="inlineStr">
        <is>
          <t>Non indicato</t>
        </is>
      </c>
      <c r="Q195" s="5" t="n"/>
      <c r="R195" s="6">
        <f>IF(Q195="","",Q195-TODAY())</f>
        <v/>
      </c>
      <c r="S195" s="5" t="n"/>
      <c r="T195" s="2" t="n"/>
      <c r="U195" s="2" t="n"/>
      <c r="V195" s="3" t="n"/>
      <c r="W195" s="3" t="n"/>
      <c r="X195" s="2" t="inlineStr">
        <is>
          <t>Regno Unito</t>
        </is>
      </c>
      <c r="Y195" s="2" t="inlineStr">
        <is>
          <t>Inglese</t>
        </is>
      </c>
      <c r="Z195" s="7" t="inlineStr">
        <is>
          <t>https://vivensafoundation.org.uk/wp-content/uploads/2026/09/Excellence-Awards_Senior-Leader_third-party-nomination_template-form.pdf</t>
        </is>
      </c>
      <c r="AA195" s="3" t="n"/>
      <c r="AB195" s="2" t="inlineStr">
        <is>
          <t>Scadenza da verificare</t>
        </is>
      </c>
      <c r="AC195" s="5" t="n">
        <v>46312</v>
      </c>
      <c r="AD195" s="5" t="n">
        <v>46312</v>
      </c>
      <c r="AE195" s="2" t="n"/>
    </row>
    <row r="196">
      <c r="A196" s="2" t="inlineStr">
        <is>
          <t>WEB-8aded4d4999a</t>
        </is>
      </c>
      <c r="B196" s="2" t="inlineStr">
        <is>
          <t>Dunhill Medical Trust</t>
        </is>
      </c>
      <c r="C196" s="2" t="inlineStr">
        <is>
          <t>Excellence Awards Team third party nomination template form</t>
        </is>
      </c>
      <c r="D196" s="2" t="inlineStr">
        <is>
          <t>Dunhill Medical Trust</t>
        </is>
      </c>
      <c r="E196" s="3" t="inlineStr">
        <is>
          <t>Excellence Awards Team third party nomination template form</t>
        </is>
      </c>
      <c r="F196" s="3" t="inlineStr">
        <is>
          <t>Excellence Awards Team third party nomination template form</t>
        </is>
      </c>
      <c r="G196" s="2" t="inlineStr">
        <is>
          <t>Invecchiamento</t>
        </is>
      </c>
      <c r="H196" s="2" t="inlineStr">
        <is>
          <t>older people, ageing</t>
        </is>
      </c>
      <c r="I196" s="2" t="inlineStr">
        <is>
          <t>Non analizzato</t>
        </is>
      </c>
      <c r="J196" s="3" t="n"/>
      <c r="K196" s="4" t="n">
        <v>120000</v>
      </c>
      <c r="L196" s="4" t="n"/>
      <c r="M196" s="2" t="inlineStr">
        <is>
          <t>GBP</t>
        </is>
      </c>
      <c r="N196" s="2" t="n"/>
      <c r="O196" s="3" t="inlineStr">
        <is>
          <t>Non stimabile – dati insufficienti</t>
        </is>
      </c>
      <c r="P196" s="3" t="inlineStr">
        <is>
          <t>Non indicato</t>
        </is>
      </c>
      <c r="Q196" s="5" t="n"/>
      <c r="R196" s="6">
        <f>IF(Q196="","",Q196-TODAY())</f>
        <v/>
      </c>
      <c r="S196" s="5" t="n"/>
      <c r="T196" s="2" t="n"/>
      <c r="U196" s="2" t="n"/>
      <c r="V196" s="3" t="n"/>
      <c r="W196" s="3" t="n"/>
      <c r="X196" s="2" t="inlineStr">
        <is>
          <t>Regno Unito</t>
        </is>
      </c>
      <c r="Y196" s="2" t="inlineStr">
        <is>
          <t>Inglese</t>
        </is>
      </c>
      <c r="Z196" s="7" t="inlineStr">
        <is>
          <t>https://vivensafoundation.org.uk/wp-content/uploads/2026/09/Excellence-Awards_Team_third-party-nomination_template-form.pdf</t>
        </is>
      </c>
      <c r="AA196" s="3" t="n"/>
      <c r="AB196" s="2" t="inlineStr">
        <is>
          <t>Scadenza da verificare</t>
        </is>
      </c>
      <c r="AC196" s="5" t="n">
        <v>46312</v>
      </c>
      <c r="AD196" s="5" t="n">
        <v>46312</v>
      </c>
      <c r="AE196" s="2" t="n"/>
    </row>
    <row r="197">
      <c r="A197" s="2" t="inlineStr">
        <is>
          <t>WEB-d9f29cab523c</t>
        </is>
      </c>
      <c r="B197" s="2" t="inlineStr">
        <is>
          <t>Michael J. Fox Foundation</t>
        </is>
      </c>
      <c r="C197" s="2" t="inlineStr">
        <is>
          <t>Celebrating Michael J. Fox's Lasker Award and the Community Behind It</t>
        </is>
      </c>
      <c r="D197" s="2" t="inlineStr">
        <is>
          <t>Michael J. Fox Foundation</t>
        </is>
      </c>
      <c r="E197" s="3" t="inlineStr">
        <is>
          <t>Celebrating Michael J. Fox's Lasker Award and the Community Behind It</t>
        </is>
      </c>
      <c r="F197" s="3" t="inlineStr">
        <is>
          <t>Celebrating Michael J. Fox's Lasker Award and the Community Behind It</t>
        </is>
      </c>
      <c r="G197" s="2" t="inlineStr">
        <is>
          <t>Parkinson</t>
        </is>
      </c>
      <c r="H197" s="2" t="inlineStr">
        <is>
          <t>parkinson</t>
        </is>
      </c>
      <c r="I197" s="2" t="inlineStr">
        <is>
          <t>Non analizzato</t>
        </is>
      </c>
      <c r="J197" s="3" t="n"/>
      <c r="K197" s="4" t="n"/>
      <c r="L197" s="4" t="n"/>
      <c r="M197" s="2" t="n"/>
      <c r="N197" s="2" t="n"/>
      <c r="O197" s="3" t="inlineStr">
        <is>
          <t>Non stimabile – dati insufficienti</t>
        </is>
      </c>
      <c r="P197" s="3" t="inlineStr">
        <is>
          <t>Non indicato</t>
        </is>
      </c>
      <c r="Q197" s="5" t="n"/>
      <c r="R197" s="6">
        <f>IF(Q197="","",Q197-TODAY())</f>
        <v/>
      </c>
      <c r="S197" s="5" t="n"/>
      <c r="T197" s="2" t="n"/>
      <c r="U197" s="2" t="n"/>
      <c r="V197" s="3" t="n"/>
      <c r="W197" s="3" t="n"/>
      <c r="X197" s="2" t="inlineStr">
        <is>
          <t>Mondiale</t>
        </is>
      </c>
      <c r="Y197" s="2" t="inlineStr">
        <is>
          <t>Inglese</t>
        </is>
      </c>
      <c r="Z197" s="7" t="inlineStr">
        <is>
          <t>https://www.michaeljfox.org/news/celebrating-michael-j-foxs-lasker-award-and-community-behind-it</t>
        </is>
      </c>
      <c r="AA197" s="3" t="n"/>
      <c r="AB197" s="2" t="inlineStr">
        <is>
          <t>Scadenza da verificare</t>
        </is>
      </c>
      <c r="AC197" s="5" t="n">
        <v>46312</v>
      </c>
      <c r="AD197" s="5" t="n">
        <v>46312</v>
      </c>
      <c r="AE197" s="2" t="n"/>
    </row>
    <row r="198">
      <c r="A198" s="2" t="inlineStr">
        <is>
          <t>WEB-c0217bd466a4</t>
        </is>
      </c>
      <c r="B198" s="2" t="inlineStr">
        <is>
          <t>Michael J. Fox Foundation</t>
        </is>
      </c>
      <c r="C198" s="2" t="inlineStr">
        <is>
          <t>Meet ChatFox: Your AI Assistant for Grant Applications and Grant Management</t>
        </is>
      </c>
      <c r="D198" s="2" t="inlineStr">
        <is>
          <t>Michael J. Fox Foundation</t>
        </is>
      </c>
      <c r="E198" s="3" t="inlineStr">
        <is>
          <t>Meet ChatFox: Your AI Assistant for Grant Applications and Grant Management</t>
        </is>
      </c>
      <c r="F198" s="3" t="inlineStr">
        <is>
          <t>Meet ChatFox: Your AI Assistant for Grant Applications and Grant Management</t>
        </is>
      </c>
      <c r="G198" s="2" t="inlineStr">
        <is>
          <t>Parkinson</t>
        </is>
      </c>
      <c r="H198" s="2" t="inlineStr">
        <is>
          <t>parkinson</t>
        </is>
      </c>
      <c r="I198" s="2" t="inlineStr">
        <is>
          <t>Non analizzato</t>
        </is>
      </c>
      <c r="J198" s="3" t="n"/>
      <c r="K198" s="4" t="n"/>
      <c r="L198" s="4" t="n"/>
      <c r="M198" s="2" t="n"/>
      <c r="N198" s="2" t="n"/>
      <c r="O198" s="3" t="inlineStr">
        <is>
          <t>Non stimabile – dati insufficienti</t>
        </is>
      </c>
      <c r="P198" s="3" t="inlineStr">
        <is>
          <t>Non indicato</t>
        </is>
      </c>
      <c r="Q198" s="5" t="n"/>
      <c r="R198" s="6">
        <f>IF(Q198="","",Q198-TODAY())</f>
        <v/>
      </c>
      <c r="S198" s="5" t="n"/>
      <c r="T198" s="2" t="n"/>
      <c r="U198" s="2" t="n"/>
      <c r="V198" s="3" t="n"/>
      <c r="W198" s="3" t="n"/>
      <c r="X198" s="2" t="inlineStr">
        <is>
          <t>Mondiale</t>
        </is>
      </c>
      <c r="Y198" s="2" t="inlineStr">
        <is>
          <t>Inglese</t>
        </is>
      </c>
      <c r="Z198" s="7" t="inlineStr">
        <is>
          <t>https://www.michaeljfox.org/index%2Ephp/news/meet-chatfox-your-ai-assistant-grant-applications-and-grant-management</t>
        </is>
      </c>
      <c r="AA198" s="3" t="n"/>
      <c r="AB198" s="2" t="inlineStr">
        <is>
          <t>Scadenza da verificare</t>
        </is>
      </c>
      <c r="AC198" s="5" t="n">
        <v>46312</v>
      </c>
      <c r="AD198" s="5" t="n">
        <v>46312</v>
      </c>
      <c r="AE198" s="2" t="n"/>
    </row>
    <row r="199">
      <c r="A199" s="2" t="inlineStr">
        <is>
          <t>WEB-6768384ca0cb</t>
        </is>
      </c>
      <c r="B199" s="2" t="inlineStr">
        <is>
          <t>Michael J. Fox Foundation</t>
        </is>
      </c>
      <c r="C199" s="2" t="inlineStr">
        <is>
          <t>Parkinson's Disease Therapeutics Pipeline Program</t>
        </is>
      </c>
      <c r="D199" s="2" t="inlineStr">
        <is>
          <t>Michael J. Fox Foundation</t>
        </is>
      </c>
      <c r="E199" s="3" t="inlineStr">
        <is>
          <t>Parkinson's Disease Therapeutics Pipeline Program</t>
        </is>
      </c>
      <c r="F199" s="3" t="inlineStr">
        <is>
          <t>Parkinson's Disease Therapeutics Pipeline Program</t>
        </is>
      </c>
      <c r="G199" s="2" t="inlineStr">
        <is>
          <t>Parkinson</t>
        </is>
      </c>
      <c r="H199" s="2" t="inlineStr">
        <is>
          <t>parkinson</t>
        </is>
      </c>
      <c r="I199" s="2" t="inlineStr">
        <is>
          <t>Non analizzato</t>
        </is>
      </c>
      <c r="J199" s="3" t="n"/>
      <c r="K199" s="4" t="n">
        <v>250000</v>
      </c>
      <c r="L199" s="4" t="n"/>
      <c r="M199" s="2" t="inlineStr">
        <is>
          <t>USD</t>
        </is>
      </c>
      <c r="N199" s="2" t="n"/>
      <c r="O199" s="3" t="inlineStr">
        <is>
          <t>Non stimabile – dati insufficienti</t>
        </is>
      </c>
      <c r="P199" s="3" t="inlineStr">
        <is>
          <t>Non indicato</t>
        </is>
      </c>
      <c r="Q199" s="5" t="n"/>
      <c r="R199" s="6">
        <f>IF(Q199="","",Q199-TODAY())</f>
        <v/>
      </c>
      <c r="S199" s="5" t="n"/>
      <c r="T199" s="2" t="n"/>
      <c r="U199" s="2" t="n"/>
      <c r="V199" s="3" t="n"/>
      <c r="W199" s="3" t="n"/>
      <c r="X199" s="2" t="inlineStr">
        <is>
          <t>Mondiale</t>
        </is>
      </c>
      <c r="Y199" s="2" t="inlineStr">
        <is>
          <t>Inglese</t>
        </is>
      </c>
      <c r="Z199" s="7" t="inlineStr">
        <is>
          <t>https://www.michaeljfox.org/grant/parkinsons-disease-therapeutics-pipeline-program</t>
        </is>
      </c>
      <c r="AA199" s="3" t="n"/>
      <c r="AB199" s="2" t="inlineStr">
        <is>
          <t>Scadenza da verificare</t>
        </is>
      </c>
      <c r="AC199" s="5" t="n">
        <v>46312</v>
      </c>
      <c r="AD199" s="5" t="n">
        <v>46312</v>
      </c>
      <c r="AE199" s="2" t="n"/>
    </row>
    <row r="200">
      <c r="A200" s="2" t="inlineStr">
        <is>
          <t>WEB-7dfa3f700970</t>
        </is>
      </c>
      <c r="B200" s="2" t="inlineStr">
        <is>
          <t>Michael J. Fox Foundation</t>
        </is>
      </c>
      <c r="C200" s="2" t="inlineStr">
        <is>
          <t>GBA1 Parkinson's Disease Research Catalyst Program</t>
        </is>
      </c>
      <c r="D200" s="2" t="inlineStr">
        <is>
          <t>Michael J. Fox Foundation</t>
        </is>
      </c>
      <c r="E200" s="3" t="inlineStr">
        <is>
          <t>GBA1 Parkinson's Disease Research Catalyst Program</t>
        </is>
      </c>
      <c r="F200" s="3" t="inlineStr">
        <is>
          <t>GBA1 Parkinson's Disease Research Catalyst Program</t>
        </is>
      </c>
      <c r="G200" s="2" t="inlineStr">
        <is>
          <t>Parkinson, Invecchiamento</t>
        </is>
      </c>
      <c r="H200" s="2" t="inlineStr">
        <is>
          <t>parkinson, neurodegenerat</t>
        </is>
      </c>
      <c r="I200" s="2" t="inlineStr">
        <is>
          <t>Non analizzato</t>
        </is>
      </c>
      <c r="J200" s="3" t="n"/>
      <c r="K200" s="4" t="n">
        <v>300000</v>
      </c>
      <c r="L200" s="4" t="n"/>
      <c r="M200" s="2" t="inlineStr">
        <is>
          <t>USD</t>
        </is>
      </c>
      <c r="N200" s="2" t="n"/>
      <c r="O200" s="3" t="inlineStr">
        <is>
          <t>Non stimabile – dati insufficienti</t>
        </is>
      </c>
      <c r="P200" s="3" t="inlineStr">
        <is>
          <t>Non indicato</t>
        </is>
      </c>
      <c r="Q200" s="5" t="n"/>
      <c r="R200" s="6">
        <f>IF(Q200="","",Q200-TODAY())</f>
        <v/>
      </c>
      <c r="S200" s="5" t="n"/>
      <c r="T200" s="2" t="n"/>
      <c r="U200" s="2" t="n"/>
      <c r="V200" s="3" t="n"/>
      <c r="W200" s="3" t="n"/>
      <c r="X200" s="2" t="inlineStr">
        <is>
          <t>Mondiale</t>
        </is>
      </c>
      <c r="Y200" s="2" t="inlineStr">
        <is>
          <t>Inglese</t>
        </is>
      </c>
      <c r="Z200" s="7" t="inlineStr">
        <is>
          <t>https://www.michaeljfox.org/grant/gba1-parkinsons-disease-research-catalyst-program</t>
        </is>
      </c>
      <c r="AA200" s="3" t="n"/>
      <c r="AB200" s="2" t="inlineStr">
        <is>
          <t>Scadenza da verificare</t>
        </is>
      </c>
      <c r="AC200" s="5" t="n">
        <v>46312</v>
      </c>
      <c r="AD200" s="5" t="n">
        <v>46312</v>
      </c>
      <c r="AE200" s="2" t="n"/>
    </row>
    <row r="201">
      <c r="A201" s="2" t="inlineStr">
        <is>
          <t>WEB-5bbe160d8960</t>
        </is>
      </c>
      <c r="B201" s="2" t="inlineStr">
        <is>
          <t>Michael J. Fox Foundation</t>
        </is>
      </c>
      <c r="C201" s="2" t="inlineStr">
        <is>
          <t>Parkinson's Disease Proteoforms Program</t>
        </is>
      </c>
      <c r="D201" s="2" t="inlineStr">
        <is>
          <t>Michael J. Fox Foundation</t>
        </is>
      </c>
      <c r="E201" s="3" t="inlineStr">
        <is>
          <t>Parkinson's Disease Proteoforms Program</t>
        </is>
      </c>
      <c r="F201" s="3" t="inlineStr">
        <is>
          <t>Parkinson's Disease Proteoforms Program</t>
        </is>
      </c>
      <c r="G201" s="2" t="inlineStr">
        <is>
          <t>Parkinson, Invecchiamento</t>
        </is>
      </c>
      <c r="H201" s="2" t="inlineStr">
        <is>
          <t>parkinson, alzheimer</t>
        </is>
      </c>
      <c r="I201" s="2" t="inlineStr">
        <is>
          <t>Non analizzato</t>
        </is>
      </c>
      <c r="J201" s="3" t="n"/>
      <c r="K201" s="4" t="n"/>
      <c r="L201" s="4" t="n"/>
      <c r="M201" s="2" t="n"/>
      <c r="N201" s="2" t="n"/>
      <c r="O201" s="3" t="inlineStr">
        <is>
          <t>Non stimabile – dati insufficienti</t>
        </is>
      </c>
      <c r="P201" s="3" t="inlineStr">
        <is>
          <t>Non indicato</t>
        </is>
      </c>
      <c r="Q201" s="5" t="n"/>
      <c r="R201" s="6">
        <f>IF(Q201="","",Q201-TODAY())</f>
        <v/>
      </c>
      <c r="S201" s="5" t="n"/>
      <c r="T201" s="2" t="n"/>
      <c r="U201" s="2" t="n"/>
      <c r="V201" s="3" t="n"/>
      <c r="W201" s="3" t="n"/>
      <c r="X201" s="2" t="inlineStr">
        <is>
          <t>Mondiale</t>
        </is>
      </c>
      <c r="Y201" s="2" t="inlineStr">
        <is>
          <t>Inglese</t>
        </is>
      </c>
      <c r="Z201" s="7" t="inlineStr">
        <is>
          <t>https://www.michaeljfox.org/grant/parkinsons-disease-proteoforms-program</t>
        </is>
      </c>
      <c r="AA201" s="3" t="n"/>
      <c r="AB201" s="2" t="inlineStr">
        <is>
          <t>Scadenza da verificare</t>
        </is>
      </c>
      <c r="AC201" s="5" t="n">
        <v>46312</v>
      </c>
      <c r="AD201" s="5" t="n">
        <v>46312</v>
      </c>
      <c r="AE201" s="2" t="n"/>
    </row>
    <row r="202">
      <c r="A202" s="2" t="inlineStr">
        <is>
          <t>WEB-8adbb1be3225</t>
        </is>
      </c>
      <c r="B202" s="2" t="inlineStr">
        <is>
          <t>Michael J. Fox Foundation</t>
        </is>
      </c>
      <c r="C202" s="2" t="inlineStr">
        <is>
          <t>Access Advocate for Clinical Research Participation</t>
        </is>
      </c>
      <c r="D202" s="2" t="inlineStr">
        <is>
          <t>Michael J. Fox Foundation</t>
        </is>
      </c>
      <c r="E202" s="3" t="inlineStr">
        <is>
          <t>Access Advocate for Clinical Research Participation</t>
        </is>
      </c>
      <c r="F202" s="3" t="inlineStr">
        <is>
          <t>Access Advocate for Clinical Research Participation</t>
        </is>
      </c>
      <c r="G202" s="2" t="inlineStr">
        <is>
          <t>Parkinson</t>
        </is>
      </c>
      <c r="H202" s="2" t="inlineStr">
        <is>
          <t>parkinson</t>
        </is>
      </c>
      <c r="I202" s="2" t="inlineStr">
        <is>
          <t>Non analizzato</t>
        </is>
      </c>
      <c r="J202" s="3" t="n"/>
      <c r="K202" s="4" t="n">
        <v>200000</v>
      </c>
      <c r="L202" s="4" t="n"/>
      <c r="M202" s="2" t="inlineStr">
        <is>
          <t>USD</t>
        </is>
      </c>
      <c r="N202" s="2" t="n"/>
      <c r="O202" s="3" t="inlineStr">
        <is>
          <t>Non stimabile – dati insufficienti</t>
        </is>
      </c>
      <c r="P202" s="3" t="inlineStr">
        <is>
          <t>Non indicato</t>
        </is>
      </c>
      <c r="Q202" s="5" t="n"/>
      <c r="R202" s="6">
        <f>IF(Q202="","",Q202-TODAY())</f>
        <v/>
      </c>
      <c r="S202" s="5" t="n"/>
      <c r="T202" s="2" t="n"/>
      <c r="U202" s="2" t="n"/>
      <c r="V202" s="3" t="n"/>
      <c r="W202" s="3" t="n"/>
      <c r="X202" s="2" t="inlineStr">
        <is>
          <t>Mondiale</t>
        </is>
      </c>
      <c r="Y202" s="2" t="inlineStr">
        <is>
          <t>Inglese</t>
        </is>
      </c>
      <c r="Z202" s="7" t="inlineStr">
        <is>
          <t>https://www.michaeljfox.org/grant/access-advocate-clinical-research-participation</t>
        </is>
      </c>
      <c r="AA202" s="3" t="n"/>
      <c r="AB202" s="2" t="inlineStr">
        <is>
          <t>Scadenza da verificare</t>
        </is>
      </c>
      <c r="AC202" s="5" t="n">
        <v>46312</v>
      </c>
      <c r="AD202" s="5" t="n">
        <v>46312</v>
      </c>
      <c r="AE202" s="2" t="n"/>
    </row>
    <row r="203">
      <c r="A203" s="2" t="inlineStr">
        <is>
          <t>WEB-0776bfd9309a</t>
        </is>
      </c>
      <c r="B203" s="2" t="inlineStr">
        <is>
          <t>Michael J. Fox Foundation</t>
        </is>
      </c>
      <c r="C203" s="2" t="inlineStr">
        <is>
          <t>Immune Profiling Insights Program</t>
        </is>
      </c>
      <c r="D203" s="2" t="inlineStr">
        <is>
          <t>Michael J. Fox Foundation</t>
        </is>
      </c>
      <c r="E203" s="3" t="inlineStr">
        <is>
          <t>Immune Profiling Insights Program</t>
        </is>
      </c>
      <c r="F203" s="3" t="inlineStr">
        <is>
          <t>Immune Profiling Insights Program</t>
        </is>
      </c>
      <c r="G203" s="2" t="inlineStr">
        <is>
          <t>Parkinson</t>
        </is>
      </c>
      <c r="H203" s="2" t="inlineStr">
        <is>
          <t>parkinson</t>
        </is>
      </c>
      <c r="I203" s="2" t="inlineStr">
        <is>
          <t>Non analizzato</t>
        </is>
      </c>
      <c r="J203" s="3" t="n"/>
      <c r="K203" s="4" t="n"/>
      <c r="L203" s="4" t="n"/>
      <c r="M203" s="2" t="n"/>
      <c r="N203" s="2" t="n"/>
      <c r="O203" s="3" t="inlineStr">
        <is>
          <t>Non stimabile – dati insufficienti</t>
        </is>
      </c>
      <c r="P203" s="3" t="inlineStr">
        <is>
          <t>Non indicato</t>
        </is>
      </c>
      <c r="Q203" s="5" t="n"/>
      <c r="R203" s="6">
        <f>IF(Q203="","",Q203-TODAY())</f>
        <v/>
      </c>
      <c r="S203" s="5" t="n"/>
      <c r="T203" s="2" t="n"/>
      <c r="U203" s="2" t="n"/>
      <c r="V203" s="3" t="n"/>
      <c r="W203" s="3" t="n"/>
      <c r="X203" s="2" t="inlineStr">
        <is>
          <t>Mondiale</t>
        </is>
      </c>
      <c r="Y203" s="2" t="inlineStr">
        <is>
          <t>Inglese</t>
        </is>
      </c>
      <c r="Z203" s="7" t="inlineStr">
        <is>
          <t>https://www.michaeljfox.org/grant/immune-profiling-insights-program</t>
        </is>
      </c>
      <c r="AA203" s="3" t="n"/>
      <c r="AB203" s="2" t="inlineStr">
        <is>
          <t>Scadenza da verificare</t>
        </is>
      </c>
      <c r="AC203" s="5" t="n">
        <v>46312</v>
      </c>
      <c r="AD203" s="5" t="n">
        <v>46312</v>
      </c>
      <c r="AE203" s="2" t="n"/>
    </row>
    <row r="204">
      <c r="A204" s="2" t="inlineStr">
        <is>
          <t>WEB-84d2de973ecf</t>
        </is>
      </c>
      <c r="B204" s="2" t="inlineStr">
        <is>
          <t>Michael J. Fox Foundation</t>
        </is>
      </c>
      <c r="C204" s="2" t="inlineStr">
        <is>
          <t>Targets to Therapies: Neuroinflammation Target Validation</t>
        </is>
      </c>
      <c r="D204" s="2" t="inlineStr">
        <is>
          <t>Michael J. Fox Foundation</t>
        </is>
      </c>
      <c r="E204" s="3" t="inlineStr">
        <is>
          <t>Targets to Therapies: Neuroinflammation Target Validation</t>
        </is>
      </c>
      <c r="F204" s="3" t="inlineStr">
        <is>
          <t>Targets to Therapies: Neuroinflammation Target Validation</t>
        </is>
      </c>
      <c r="G204" s="2" t="inlineStr">
        <is>
          <t>Parkinson</t>
        </is>
      </c>
      <c r="H204" s="2" t="inlineStr">
        <is>
          <t>parkinson</t>
        </is>
      </c>
      <c r="I204" s="2" t="inlineStr">
        <is>
          <t>Non analizzato</t>
        </is>
      </c>
      <c r="J204" s="3" t="n"/>
      <c r="K204" s="4" t="n">
        <v>250000</v>
      </c>
      <c r="L204" s="4" t="n"/>
      <c r="M204" s="2" t="inlineStr">
        <is>
          <t>USD</t>
        </is>
      </c>
      <c r="N204" s="2" t="n"/>
      <c r="O204" s="3" t="inlineStr">
        <is>
          <t>Non stimabile – dati insufficienti</t>
        </is>
      </c>
      <c r="P204" s="3" t="inlineStr">
        <is>
          <t>Non indicato</t>
        </is>
      </c>
      <c r="Q204" s="5" t="n"/>
      <c r="R204" s="6">
        <f>IF(Q204="","",Q204-TODAY())</f>
        <v/>
      </c>
      <c r="S204" s="5" t="n"/>
      <c r="T204" s="2" t="n"/>
      <c r="U204" s="2" t="n"/>
      <c r="V204" s="3" t="n"/>
      <c r="W204" s="3" t="n"/>
      <c r="X204" s="2" t="inlineStr">
        <is>
          <t>Mondiale</t>
        </is>
      </c>
      <c r="Y204" s="2" t="inlineStr">
        <is>
          <t>Inglese</t>
        </is>
      </c>
      <c r="Z204" s="7" t="inlineStr">
        <is>
          <t>https://www.michaeljfox.org/grant/targets-therapies-neuroinflammation-target-validation</t>
        </is>
      </c>
      <c r="AA204" s="3" t="n"/>
      <c r="AB204" s="2" t="inlineStr">
        <is>
          <t>Scadenza da verificare</t>
        </is>
      </c>
      <c r="AC204" s="5" t="n">
        <v>46312</v>
      </c>
      <c r="AD204" s="5" t="n">
        <v>46312</v>
      </c>
      <c r="AE204" s="2" t="n"/>
    </row>
    <row r="205">
      <c r="A205" s="2" t="inlineStr">
        <is>
          <t>WEB-cc9f1ac98b79</t>
        </is>
      </c>
      <c r="B205" s="2" t="inlineStr">
        <is>
          <t>Michael J. Fox Foundation</t>
        </is>
      </c>
      <c r="C205" s="2" t="inlineStr">
        <is>
          <t>Targets to Therapies: Endolysosomal Target Validation</t>
        </is>
      </c>
      <c r="D205" s="2" t="inlineStr">
        <is>
          <t>Michael J. Fox Foundation</t>
        </is>
      </c>
      <c r="E205" s="3" t="inlineStr">
        <is>
          <t>Targets to Therapies: Endolysosomal Target Validation</t>
        </is>
      </c>
      <c r="F205" s="3" t="inlineStr">
        <is>
          <t>Targets to Therapies: Endolysosomal Target Validation</t>
        </is>
      </c>
      <c r="G205" s="2" t="inlineStr">
        <is>
          <t>Parkinson</t>
        </is>
      </c>
      <c r="H205" s="2" t="inlineStr">
        <is>
          <t>parkinson</t>
        </is>
      </c>
      <c r="I205" s="2" t="inlineStr">
        <is>
          <t>Non analizzato</t>
        </is>
      </c>
      <c r="J205" s="3" t="n"/>
      <c r="K205" s="4" t="n">
        <v>250000</v>
      </c>
      <c r="L205" s="4" t="n"/>
      <c r="M205" s="2" t="inlineStr">
        <is>
          <t>USD</t>
        </is>
      </c>
      <c r="N205" s="2" t="n"/>
      <c r="O205" s="3" t="inlineStr">
        <is>
          <t>Non stimabile – dati insufficienti</t>
        </is>
      </c>
      <c r="P205" s="3" t="inlineStr">
        <is>
          <t>Non indicato</t>
        </is>
      </c>
      <c r="Q205" s="5" t="n"/>
      <c r="R205" s="6">
        <f>IF(Q205="","",Q205-TODAY())</f>
        <v/>
      </c>
      <c r="S205" s="5" t="n"/>
      <c r="T205" s="2" t="n"/>
      <c r="U205" s="2" t="n"/>
      <c r="V205" s="3" t="n"/>
      <c r="W205" s="3" t="n"/>
      <c r="X205" s="2" t="inlineStr">
        <is>
          <t>Mondiale</t>
        </is>
      </c>
      <c r="Y205" s="2" t="inlineStr">
        <is>
          <t>Inglese</t>
        </is>
      </c>
      <c r="Z205" s="7" t="inlineStr">
        <is>
          <t>https://www.michaeljfox.org/grant/targets-therapies-endolysosomal-target-validation</t>
        </is>
      </c>
      <c r="AA205" s="3" t="n"/>
      <c r="AB205" s="2" t="inlineStr">
        <is>
          <t>Scadenza da verificare</t>
        </is>
      </c>
      <c r="AC205" s="5" t="n">
        <v>46312</v>
      </c>
      <c r="AD205" s="5" t="n">
        <v>46312</v>
      </c>
      <c r="AE205" s="2" t="n"/>
    </row>
    <row r="206">
      <c r="A206" s="2" t="inlineStr">
        <is>
          <t>WEB-8a18bb60f359</t>
        </is>
      </c>
      <c r="B206" s="2" t="inlineStr">
        <is>
          <t>Michael J. Fox Foundation</t>
        </is>
      </c>
      <c r="C206" s="2" t="inlineStr">
        <is>
          <t>Molecular MRI Biomarker Program</t>
        </is>
      </c>
      <c r="D206" s="2" t="inlineStr">
        <is>
          <t>Michael J. Fox Foundation</t>
        </is>
      </c>
      <c r="E206" s="3" t="inlineStr">
        <is>
          <t>Molecular MRI Biomarker Program</t>
        </is>
      </c>
      <c r="F206" s="3" t="inlineStr">
        <is>
          <t>Molecular MRI Biomarker Program</t>
        </is>
      </c>
      <c r="G206" s="2" t="inlineStr">
        <is>
          <t>Parkinson</t>
        </is>
      </c>
      <c r="H206" s="2" t="inlineStr">
        <is>
          <t>parkinson</t>
        </is>
      </c>
      <c r="I206" s="2" t="inlineStr">
        <is>
          <t>Non analizzato</t>
        </is>
      </c>
      <c r="J206" s="3" t="n"/>
      <c r="K206" s="4" t="n">
        <v>400000</v>
      </c>
      <c r="L206" s="4" t="n"/>
      <c r="M206" s="2" t="inlineStr">
        <is>
          <t>USD</t>
        </is>
      </c>
      <c r="N206" s="2" t="n"/>
      <c r="O206" s="3" t="inlineStr">
        <is>
          <t>Non stimabile – dati insufficienti</t>
        </is>
      </c>
      <c r="P206" s="3" t="inlineStr">
        <is>
          <t>Non indicato</t>
        </is>
      </c>
      <c r="Q206" s="5" t="n"/>
      <c r="R206" s="6">
        <f>IF(Q206="","",Q206-TODAY())</f>
        <v/>
      </c>
      <c r="S206" s="5" t="n"/>
      <c r="T206" s="2" t="n"/>
      <c r="U206" s="2" t="n"/>
      <c r="V206" s="3" t="n"/>
      <c r="W206" s="3" t="n"/>
      <c r="X206" s="2" t="inlineStr">
        <is>
          <t>Mondiale</t>
        </is>
      </c>
      <c r="Y206" s="2" t="inlineStr">
        <is>
          <t>Inglese</t>
        </is>
      </c>
      <c r="Z206" s="7" t="inlineStr">
        <is>
          <t>https://www.michaeljfox.org/grant/molecular-mri-biomarker-program</t>
        </is>
      </c>
      <c r="AA206" s="3" t="n"/>
      <c r="AB206" s="2" t="inlineStr">
        <is>
          <t>Scadenza da verificare</t>
        </is>
      </c>
      <c r="AC206" s="5" t="n">
        <v>46312</v>
      </c>
      <c r="AD206" s="5" t="n">
        <v>46312</v>
      </c>
      <c r="AE206" s="2" t="n"/>
    </row>
    <row r="207">
      <c r="A207" s="2" t="inlineStr">
        <is>
          <t>WEB-442dcec62f8b</t>
        </is>
      </c>
      <c r="B207" s="2" t="inlineStr">
        <is>
          <t>Michael J. Fox Foundation</t>
        </is>
      </c>
      <c r="C207" s="2" t="inlineStr">
        <is>
          <t>PPMI Biofluid Biomarkers Program</t>
        </is>
      </c>
      <c r="D207" s="2" t="inlineStr">
        <is>
          <t>Michael J. Fox Foundation</t>
        </is>
      </c>
      <c r="E207" s="3" t="inlineStr">
        <is>
          <t>PPMI Biofluid Biomarkers Program</t>
        </is>
      </c>
      <c r="F207" s="3" t="inlineStr">
        <is>
          <t>PPMI Biofluid Biomarkers Program</t>
        </is>
      </c>
      <c r="G207" s="2" t="inlineStr">
        <is>
          <t>Parkinson, Invecchiamento</t>
        </is>
      </c>
      <c r="H207" s="2" t="inlineStr">
        <is>
          <t>parkinson, dementi, neurodegenerat</t>
        </is>
      </c>
      <c r="I207" s="2" t="inlineStr">
        <is>
          <t>Non analizzato</t>
        </is>
      </c>
      <c r="J207" s="3" t="n"/>
      <c r="K207" s="4" t="n"/>
      <c r="L207" s="4" t="n"/>
      <c r="M207" s="2" t="n"/>
      <c r="N207" s="2" t="n"/>
      <c r="O207" s="3" t="inlineStr">
        <is>
          <t>Non stimabile – dati insufficienti</t>
        </is>
      </c>
      <c r="P207" s="3" t="inlineStr">
        <is>
          <t>Non indicato</t>
        </is>
      </c>
      <c r="Q207" s="5" t="n"/>
      <c r="R207" s="6">
        <f>IF(Q207="","",Q207-TODAY())</f>
        <v/>
      </c>
      <c r="S207" s="5" t="n"/>
      <c r="T207" s="2" t="n"/>
      <c r="U207" s="2" t="n"/>
      <c r="V207" s="3" t="n"/>
      <c r="W207" s="3" t="n"/>
      <c r="X207" s="2" t="inlineStr">
        <is>
          <t>Mondiale</t>
        </is>
      </c>
      <c r="Y207" s="2" t="inlineStr">
        <is>
          <t>Inglese</t>
        </is>
      </c>
      <c r="Z207" s="7" t="inlineStr">
        <is>
          <t>https://www.michaeljfox.org/grant/ppmi-biofluid-biomarkers-program</t>
        </is>
      </c>
      <c r="AA207" s="3" t="n"/>
      <c r="AB207" s="2" t="inlineStr">
        <is>
          <t>Scadenza da verificare</t>
        </is>
      </c>
      <c r="AC207" s="5" t="n">
        <v>46312</v>
      </c>
      <c r="AD207" s="5" t="n">
        <v>46312</v>
      </c>
      <c r="AE207" s="2" t="n"/>
    </row>
    <row r="208">
      <c r="A208" s="2" t="inlineStr">
        <is>
          <t>WEB-4344caf3d7e0</t>
        </is>
      </c>
      <c r="B208" s="2" t="inlineStr">
        <is>
          <t>Michael J. Fox Foundation</t>
        </is>
      </c>
      <c r="C208" s="2" t="inlineStr">
        <is>
          <t>Seed Amplification Assay Innovation Program</t>
        </is>
      </c>
      <c r="D208" s="2" t="inlineStr">
        <is>
          <t>Michael J. Fox Foundation</t>
        </is>
      </c>
      <c r="E208" s="3" t="inlineStr">
        <is>
          <t>Seed Amplification Assay Innovation Program</t>
        </is>
      </c>
      <c r="F208" s="3" t="inlineStr">
        <is>
          <t>Seed Amplification Assay Innovation Program</t>
        </is>
      </c>
      <c r="G208" s="2" t="inlineStr">
        <is>
          <t>Parkinson, Invecchiamento</t>
        </is>
      </c>
      <c r="H208" s="2" t="inlineStr">
        <is>
          <t>parkinson, dementi</t>
        </is>
      </c>
      <c r="I208" s="2" t="inlineStr">
        <is>
          <t>Non analizzato</t>
        </is>
      </c>
      <c r="J208" s="3" t="n"/>
      <c r="K208" s="4" t="n">
        <v>1000000</v>
      </c>
      <c r="L208" s="4" t="n"/>
      <c r="M208" s="2" t="inlineStr">
        <is>
          <t>USD</t>
        </is>
      </c>
      <c r="N208" s="2" t="n"/>
      <c r="O208" s="3" t="inlineStr">
        <is>
          <t>Non stimabile – dati insufficienti</t>
        </is>
      </c>
      <c r="P208" s="3" t="inlineStr">
        <is>
          <t>Non indicato</t>
        </is>
      </c>
      <c r="Q208" s="5" t="n"/>
      <c r="R208" s="6">
        <f>IF(Q208="","",Q208-TODAY())</f>
        <v/>
      </c>
      <c r="S208" s="5" t="n"/>
      <c r="T208" s="2" t="n"/>
      <c r="U208" s="2" t="n"/>
      <c r="V208" s="3" t="n"/>
      <c r="W208" s="3" t="n"/>
      <c r="X208" s="2" t="inlineStr">
        <is>
          <t>Mondiale</t>
        </is>
      </c>
      <c r="Y208" s="2" t="inlineStr">
        <is>
          <t>Inglese</t>
        </is>
      </c>
      <c r="Z208" s="7" t="inlineStr">
        <is>
          <t>https://www.michaeljfox.org/grant/seed-amplification-assay-innovation-program</t>
        </is>
      </c>
      <c r="AA208" s="3" t="n"/>
      <c r="AB208" s="2" t="inlineStr">
        <is>
          <t>Scadenza da verificare</t>
        </is>
      </c>
      <c r="AC208" s="5" t="n">
        <v>46312</v>
      </c>
      <c r="AD208" s="5" t="n">
        <v>46312</v>
      </c>
      <c r="AE208" s="2" t="n"/>
    </row>
    <row r="209">
      <c r="A209" s="2" t="inlineStr">
        <is>
          <t>WEB-7e63b60c174b</t>
        </is>
      </c>
      <c r="B209" s="2" t="inlineStr">
        <is>
          <t>Michael J. Fox Foundation</t>
        </is>
      </c>
      <c r="C209" s="2" t="inlineStr">
        <is>
          <t>Personalized Approaches for Understanding, Assessing and Improving Gait in Parkinson’s Disease Research Program</t>
        </is>
      </c>
      <c r="D209" s="2" t="inlineStr">
        <is>
          <t>Michael J. Fox Foundation</t>
        </is>
      </c>
      <c r="E209" s="3" t="inlineStr">
        <is>
          <t>Personalized Approaches for Understanding, Assessing and Improving Gait in Parkinson’s Disease Research Program</t>
        </is>
      </c>
      <c r="F209" s="3" t="inlineStr">
        <is>
          <t>Personalized Approaches for Understanding, Assessing and Improving Gait in Parkinson’s Disease Research Program</t>
        </is>
      </c>
      <c r="G209" s="2" t="inlineStr">
        <is>
          <t>Parkinson, Tecnologie riabilitazione</t>
        </is>
      </c>
      <c r="H209" s="2" t="inlineStr">
        <is>
          <t>parkinson, gait</t>
        </is>
      </c>
      <c r="I209" s="2" t="inlineStr">
        <is>
          <t>Non analizzato</t>
        </is>
      </c>
      <c r="J209" s="3" t="n"/>
      <c r="K209" s="4" t="n">
        <v>250000</v>
      </c>
      <c r="L209" s="4" t="n"/>
      <c r="M209" s="2" t="inlineStr">
        <is>
          <t>USD</t>
        </is>
      </c>
      <c r="N209" s="2" t="n"/>
      <c r="O209" s="3" t="inlineStr">
        <is>
          <t>Non stimabile – dati insufficienti</t>
        </is>
      </c>
      <c r="P209" s="3" t="inlineStr">
        <is>
          <t>Non indicato</t>
        </is>
      </c>
      <c r="Q209" s="5" t="n"/>
      <c r="R209" s="6">
        <f>IF(Q209="","",Q209-TODAY())</f>
        <v/>
      </c>
      <c r="S209" s="5" t="n"/>
      <c r="T209" s="2" t="n"/>
      <c r="U209" s="2" t="n"/>
      <c r="V209" s="3" t="n"/>
      <c r="W209" s="3" t="n"/>
      <c r="X209" s="2" t="inlineStr">
        <is>
          <t>Mondiale</t>
        </is>
      </c>
      <c r="Y209" s="2" t="inlineStr">
        <is>
          <t>Inglese</t>
        </is>
      </c>
      <c r="Z209" s="7" t="inlineStr">
        <is>
          <t>https://www.michaeljfox.org/grant/personalized-approaches-understanding-assessing-and-improving-gait-parkinsons-disease</t>
        </is>
      </c>
      <c r="AA209" s="3" t="n"/>
      <c r="AB209" s="2" t="inlineStr">
        <is>
          <t>Scadenza da verificare</t>
        </is>
      </c>
      <c r="AC209" s="5" t="n">
        <v>46312</v>
      </c>
      <c r="AD209" s="5" t="n">
        <v>46312</v>
      </c>
      <c r="AE209" s="2" t="n"/>
    </row>
    <row r="210">
      <c r="A210" s="2" t="inlineStr">
        <is>
          <t>WEB-db5ef1a13fe4</t>
        </is>
      </c>
      <c r="B210" s="2" t="inlineStr">
        <is>
          <t>Michael J. Fox Foundation</t>
        </is>
      </c>
      <c r="C210" s="2" t="inlineStr">
        <is>
          <t>Biomarker Advancement Programs</t>
        </is>
      </c>
      <c r="D210" s="2" t="inlineStr">
        <is>
          <t>Michael J. Fox Foundation</t>
        </is>
      </c>
      <c r="E210" s="3" t="inlineStr">
        <is>
          <t>Biomarker Advancement Programs</t>
        </is>
      </c>
      <c r="F210" s="3" t="inlineStr">
        <is>
          <t>Biomarker Advancement Programs</t>
        </is>
      </c>
      <c r="G210" s="2" t="inlineStr">
        <is>
          <t>Parkinson, Invecchiamento</t>
        </is>
      </c>
      <c r="H210" s="2" t="inlineStr">
        <is>
          <t>parkinson, neurodegenerat</t>
        </is>
      </c>
      <c r="I210" s="2" t="inlineStr">
        <is>
          <t>Non analizzato</t>
        </is>
      </c>
      <c r="J210" s="3" t="n"/>
      <c r="K210" s="4" t="n"/>
      <c r="L210" s="4" t="n"/>
      <c r="M210" s="2" t="n"/>
      <c r="N210" s="2" t="n"/>
      <c r="O210" s="3" t="inlineStr">
        <is>
          <t>Non stimabile – dati insufficienti</t>
        </is>
      </c>
      <c r="P210" s="3" t="inlineStr">
        <is>
          <t>Non indicato</t>
        </is>
      </c>
      <c r="Q210" s="5" t="n"/>
      <c r="R210" s="6">
        <f>IF(Q210="","",Q210-TODAY())</f>
        <v/>
      </c>
      <c r="S210" s="5" t="n"/>
      <c r="T210" s="2" t="n"/>
      <c r="U210" s="2" t="n"/>
      <c r="V210" s="3" t="n"/>
      <c r="W210" s="3" t="n"/>
      <c r="X210" s="2" t="inlineStr">
        <is>
          <t>Mondiale</t>
        </is>
      </c>
      <c r="Y210" s="2" t="inlineStr">
        <is>
          <t>Inglese</t>
        </is>
      </c>
      <c r="Z210" s="7" t="inlineStr">
        <is>
          <t>https://www.michaeljfox.org/grant/biomarker-advancement-programs</t>
        </is>
      </c>
      <c r="AA210" s="3" t="n"/>
      <c r="AB210" s="2" t="inlineStr">
        <is>
          <t>Scadenza da verificare</t>
        </is>
      </c>
      <c r="AC210" s="5" t="n">
        <v>46312</v>
      </c>
      <c r="AD210" s="5" t="n">
        <v>46312</v>
      </c>
      <c r="AE210" s="2" t="n"/>
    </row>
    <row r="211">
      <c r="A211" s="2" t="inlineStr">
        <is>
          <t>WEB-283fbc324b3f</t>
        </is>
      </c>
      <c r="B211" s="2" t="inlineStr">
        <is>
          <t>Michael J. Fox Foundation</t>
        </is>
      </c>
      <c r="C211" s="2" t="inlineStr">
        <is>
          <t>LRRK2 Investigative Therapeutics Exchange (LITE)</t>
        </is>
      </c>
      <c r="D211" s="2" t="inlineStr">
        <is>
          <t>Michael J. Fox Foundation</t>
        </is>
      </c>
      <c r="E211" s="3" t="inlineStr">
        <is>
          <t>LRRK2 Investigative Therapeutics Exchange (LITE)</t>
        </is>
      </c>
      <c r="F211" s="3" t="inlineStr">
        <is>
          <t>LRRK2 Investigative Therapeutics Exchange (LITE)</t>
        </is>
      </c>
      <c r="G211" s="2" t="inlineStr">
        <is>
          <t>Parkinson</t>
        </is>
      </c>
      <c r="H211" s="2" t="inlineStr">
        <is>
          <t>parkinson</t>
        </is>
      </c>
      <c r="I211" s="2" t="inlineStr">
        <is>
          <t>Non analizzato</t>
        </is>
      </c>
      <c r="J211" s="3" t="n"/>
      <c r="K211" s="4" t="n"/>
      <c r="L211" s="4" t="n"/>
      <c r="M211" s="2" t="n"/>
      <c r="N211" s="2" t="n"/>
      <c r="O211" s="3" t="inlineStr">
        <is>
          <t>Non stimabile – dati insufficienti</t>
        </is>
      </c>
      <c r="P211" s="3" t="inlineStr">
        <is>
          <t>Non indicato</t>
        </is>
      </c>
      <c r="Q211" s="5" t="n"/>
      <c r="R211" s="6">
        <f>IF(Q211="","",Q211-TODAY())</f>
        <v/>
      </c>
      <c r="S211" s="5" t="n"/>
      <c r="T211" s="2" t="n"/>
      <c r="U211" s="2" t="n"/>
      <c r="V211" s="3" t="n"/>
      <c r="W211" s="3" t="n"/>
      <c r="X211" s="2" t="inlineStr">
        <is>
          <t>Mondiale</t>
        </is>
      </c>
      <c r="Y211" s="2" t="inlineStr">
        <is>
          <t>Inglese</t>
        </is>
      </c>
      <c r="Z211" s="7" t="inlineStr">
        <is>
          <t>https://www.michaeljfox.org/grant/lrrk2-investigative-therapeutics-exchange-lite</t>
        </is>
      </c>
      <c r="AA211" s="3" t="n"/>
      <c r="AB211" s="2" t="inlineStr">
        <is>
          <t>Scadenza da verificare</t>
        </is>
      </c>
      <c r="AC211" s="5" t="n">
        <v>46312</v>
      </c>
      <c r="AD211" s="5" t="n">
        <v>46312</v>
      </c>
      <c r="AE211" s="2" t="n"/>
    </row>
    <row r="212">
      <c r="A212" s="2" t="inlineStr">
        <is>
          <t>WEB-c25c6bb6e2ba</t>
        </is>
      </c>
      <c r="B212" s="2" t="inlineStr">
        <is>
          <t>Michael J. Fox Foundation</t>
        </is>
      </c>
      <c r="C212" s="2" t="inlineStr">
        <is>
          <t>Targets to Therapies Initiative</t>
        </is>
      </c>
      <c r="D212" s="2" t="inlineStr">
        <is>
          <t>Michael J. Fox Foundation</t>
        </is>
      </c>
      <c r="E212" s="3" t="inlineStr">
        <is>
          <t>Targets to Therapies Initiative</t>
        </is>
      </c>
      <c r="F212" s="3" t="inlineStr">
        <is>
          <t>Targets to Therapies Initiative</t>
        </is>
      </c>
      <c r="G212" s="2" t="inlineStr">
        <is>
          <t>Parkinson, Invecchiamento</t>
        </is>
      </c>
      <c r="H212" s="2" t="inlineStr">
        <is>
          <t>parkinson, dementi, alzheimer</t>
        </is>
      </c>
      <c r="I212" s="2" t="inlineStr">
        <is>
          <t>Non analizzato</t>
        </is>
      </c>
      <c r="J212" s="3" t="n"/>
      <c r="K212" s="4" t="n"/>
      <c r="L212" s="4" t="n"/>
      <c r="M212" s="2" t="n"/>
      <c r="N212" s="2" t="n"/>
      <c r="O212" s="3" t="inlineStr">
        <is>
          <t>Non stimabile – dati insufficienti</t>
        </is>
      </c>
      <c r="P212" s="3" t="inlineStr">
        <is>
          <t>Non indicato</t>
        </is>
      </c>
      <c r="Q212" s="5" t="n"/>
      <c r="R212" s="6">
        <f>IF(Q212="","",Q212-TODAY())</f>
        <v/>
      </c>
      <c r="S212" s="5" t="n"/>
      <c r="T212" s="2" t="n"/>
      <c r="U212" s="2" t="n"/>
      <c r="V212" s="3" t="n"/>
      <c r="W212" s="3" t="n"/>
      <c r="X212" s="2" t="inlineStr">
        <is>
          <t>Mondiale</t>
        </is>
      </c>
      <c r="Y212" s="2" t="inlineStr">
        <is>
          <t>Inglese</t>
        </is>
      </c>
      <c r="Z212" s="7" t="inlineStr">
        <is>
          <t>https://www.michaeljfox.org/grant/targets-therapies-initiative</t>
        </is>
      </c>
      <c r="AA212" s="3" t="n"/>
      <c r="AB212" s="2" t="inlineStr">
        <is>
          <t>Scadenza da verificare</t>
        </is>
      </c>
      <c r="AC212" s="5" t="n">
        <v>46312</v>
      </c>
      <c r="AD212" s="5" t="n">
        <v>46312</v>
      </c>
      <c r="AE212" s="2" t="n"/>
    </row>
    <row r="213">
      <c r="A213" s="2" t="inlineStr">
        <is>
          <t>WEB-1f28a369a3ac</t>
        </is>
      </c>
      <c r="B213" s="2" t="inlineStr">
        <is>
          <t>Michael J. Fox Foundation</t>
        </is>
      </c>
      <c r="C213" s="2" t="inlineStr">
        <is>
          <t>Login</t>
        </is>
      </c>
      <c r="D213" s="2" t="inlineStr">
        <is>
          <t>Michael J. Fox Foundation</t>
        </is>
      </c>
      <c r="E213" s="3" t="inlineStr">
        <is>
          <t>Login</t>
        </is>
      </c>
      <c r="F213" s="3" t="inlineStr">
        <is>
          <t>Login</t>
        </is>
      </c>
      <c r="G213" s="2" t="inlineStr">
        <is>
          <t>Parkinson</t>
        </is>
      </c>
      <c r="H213" s="2" t="inlineStr">
        <is>
          <t>parkinson</t>
        </is>
      </c>
      <c r="I213" s="2" t="inlineStr">
        <is>
          <t>Non analizzato</t>
        </is>
      </c>
      <c r="J213" s="3" t="n"/>
      <c r="K213" s="4" t="n"/>
      <c r="L213" s="4" t="n"/>
      <c r="M213" s="2" t="n"/>
      <c r="N213" s="2" t="n"/>
      <c r="O213" s="3" t="inlineStr">
        <is>
          <t>Non stimabile – dati insufficienti</t>
        </is>
      </c>
      <c r="P213" s="3" t="inlineStr">
        <is>
          <t>Non indicato</t>
        </is>
      </c>
      <c r="Q213" s="5" t="n"/>
      <c r="R213" s="6">
        <f>IF(Q213="","",Q213-TODAY())</f>
        <v/>
      </c>
      <c r="S213" s="5" t="n"/>
      <c r="T213" s="2" t="n"/>
      <c r="U213" s="2" t="n"/>
      <c r="V213" s="3" t="n"/>
      <c r="W213" s="3" t="n"/>
      <c r="X213" s="2" t="inlineStr">
        <is>
          <t>Mondiale</t>
        </is>
      </c>
      <c r="Y213" s="2" t="inlineStr">
        <is>
          <t>Inglese</t>
        </is>
      </c>
      <c r="Z213" s="7" t="inlineStr">
        <is>
          <t>https://grants.michaeljfox.org/s_Login.jsp</t>
        </is>
      </c>
      <c r="AA213" s="3" t="n"/>
      <c r="AB213" s="2" t="inlineStr">
        <is>
          <t>Scadenza da verificare</t>
        </is>
      </c>
      <c r="AC213" s="5" t="n">
        <v>46312</v>
      </c>
      <c r="AD213" s="5" t="n">
        <v>46312</v>
      </c>
      <c r="AE213" s="2" t="n"/>
    </row>
    <row r="214">
      <c r="A214" s="2" t="inlineStr">
        <is>
          <t>WEB-eb005a1f7ed7</t>
        </is>
      </c>
      <c r="B214" s="2" t="inlineStr">
        <is>
          <t>Michael J. Fox Foundation</t>
        </is>
      </c>
      <c r="C214" s="2" t="inlineStr">
        <is>
          <t>Investing in Early-stage Therapies</t>
        </is>
      </c>
      <c r="D214" s="2" t="inlineStr">
        <is>
          <t>Michael J. Fox Foundation</t>
        </is>
      </c>
      <c r="E214" s="3" t="inlineStr">
        <is>
          <t>Investing in Early-stage Therapies</t>
        </is>
      </c>
      <c r="F214" s="3" t="inlineStr">
        <is>
          <t>Investing in Early-stage Therapies</t>
        </is>
      </c>
      <c r="G214" s="2" t="inlineStr">
        <is>
          <t>Parkinson</t>
        </is>
      </c>
      <c r="H214" s="2" t="inlineStr">
        <is>
          <t>parkinson</t>
        </is>
      </c>
      <c r="I214" s="2" t="inlineStr">
        <is>
          <t>Non analizzato</t>
        </is>
      </c>
      <c r="J214" s="3" t="n"/>
      <c r="K214" s="4" t="n">
        <v>750000</v>
      </c>
      <c r="L214" s="4" t="n"/>
      <c r="M214" s="2" t="inlineStr">
        <is>
          <t>USD</t>
        </is>
      </c>
      <c r="N214" s="2" t="n"/>
      <c r="O214" s="3" t="inlineStr">
        <is>
          <t>Non stimabile – dati insufficienti</t>
        </is>
      </c>
      <c r="P214" s="3" t="inlineStr">
        <is>
          <t>Non indicato</t>
        </is>
      </c>
      <c r="Q214" s="5" t="n"/>
      <c r="R214" s="6">
        <f>IF(Q214="","",Q214-TODAY())</f>
        <v/>
      </c>
      <c r="S214" s="5" t="n"/>
      <c r="T214" s="2" t="n"/>
      <c r="U214" s="2" t="n"/>
      <c r="V214" s="3" t="n"/>
      <c r="W214" s="3" t="n"/>
      <c r="X214" s="2" t="inlineStr">
        <is>
          <t>Mondiale</t>
        </is>
      </c>
      <c r="Y214" s="2" t="inlineStr">
        <is>
          <t>Inglese</t>
        </is>
      </c>
      <c r="Z214" s="7" t="inlineStr">
        <is>
          <t>https://www.michaeljfox.org/news/investing-early-stage-therapies</t>
        </is>
      </c>
      <c r="AA214" s="3" t="n"/>
      <c r="AB214" s="2" t="inlineStr">
        <is>
          <t>Scadenza da verificare</t>
        </is>
      </c>
      <c r="AC214" s="5" t="n">
        <v>46312</v>
      </c>
      <c r="AD214" s="5" t="n">
        <v>46312</v>
      </c>
      <c r="AE214" s="2" t="n"/>
    </row>
    <row r="215">
      <c r="A215" s="2" t="inlineStr">
        <is>
          <t>WEB-b40085fecfef</t>
        </is>
      </c>
      <c r="B215" s="2" t="inlineStr">
        <is>
          <t>Michael J. Fox Foundation</t>
        </is>
      </c>
      <c r="C215" s="2" t="inlineStr">
        <is>
          <t>Michael J. Fox Receives Lasker~Bloomberg Public Service Award for Transformative Leadership in Parkinson’s Research</t>
        </is>
      </c>
      <c r="D215" s="2" t="inlineStr">
        <is>
          <t>Michael J. Fox Foundation</t>
        </is>
      </c>
      <c r="E215" s="3" t="inlineStr">
        <is>
          <t>Michael J. Fox Receives Lasker~Bloomberg Public Service Award for Transformative Leadership in Parkinson’s Research</t>
        </is>
      </c>
      <c r="F215" s="3" t="inlineStr">
        <is>
          <t>Michael J. Fox Receives Lasker~Bloomberg Public Service Award for Transformative Leadership in Parkinson’s Research</t>
        </is>
      </c>
      <c r="G215" s="2" t="inlineStr">
        <is>
          <t>Parkinson, Invecchiamento</t>
        </is>
      </c>
      <c r="H215" s="2" t="inlineStr">
        <is>
          <t>parkinson, alzheimer</t>
        </is>
      </c>
      <c r="I215" s="2" t="inlineStr">
        <is>
          <t>Non analizzato</t>
        </is>
      </c>
      <c r="J215" s="3" t="n"/>
      <c r="K215" s="4" t="n">
        <v>250000</v>
      </c>
      <c r="L215" s="4" t="n"/>
      <c r="M215" s="2" t="inlineStr">
        <is>
          <t>USD</t>
        </is>
      </c>
      <c r="N215" s="2" t="n"/>
      <c r="O215" s="3" t="inlineStr">
        <is>
          <t>Non stimabile – dati insufficienti</t>
        </is>
      </c>
      <c r="P215" s="3" t="inlineStr">
        <is>
          <t>Non indicato</t>
        </is>
      </c>
      <c r="Q215" s="5" t="n"/>
      <c r="R215" s="6">
        <f>IF(Q215="","",Q215-TODAY())</f>
        <v/>
      </c>
      <c r="S215" s="5" t="n"/>
      <c r="T215" s="2" t="n"/>
      <c r="U215" s="2" t="n"/>
      <c r="V215" s="3" t="n"/>
      <c r="W215" s="3" t="n"/>
      <c r="X215" s="2" t="inlineStr">
        <is>
          <t>Mondiale</t>
        </is>
      </c>
      <c r="Y215" s="2" t="inlineStr">
        <is>
          <t>Inglese</t>
        </is>
      </c>
      <c r="Z215" s="7" t="inlineStr">
        <is>
          <t>https://www.michaeljfox.org/publication/michael-j-fox-receives-laskerbloomberg-public-service-award-transformative-leadership</t>
        </is>
      </c>
      <c r="AA215" s="3" t="n"/>
      <c r="AB215" s="2" t="inlineStr">
        <is>
          <t>Scadenza da verificare</t>
        </is>
      </c>
      <c r="AC215" s="5" t="n">
        <v>46312</v>
      </c>
      <c r="AD215" s="5" t="n">
        <v>46312</v>
      </c>
      <c r="AE215" s="2" t="n"/>
    </row>
    <row r="216">
      <c r="A216" s="2" t="inlineStr">
        <is>
          <t>WEB-be57b3f2011d</t>
        </is>
      </c>
      <c r="B216" s="2" t="inlineStr">
        <is>
          <t>Parkinson's Foundation</t>
        </is>
      </c>
      <c r="C216" s="2" t="inlineStr">
        <is>
          <t>Clinical Training Awards</t>
        </is>
      </c>
      <c r="D216" s="2" t="inlineStr">
        <is>
          <t>Parkinson's Foundation</t>
        </is>
      </c>
      <c r="E216" s="3" t="inlineStr">
        <is>
          <t>Clinical Training Awards</t>
        </is>
      </c>
      <c r="F216" s="3" t="inlineStr">
        <is>
          <t>Clinical Training Awards</t>
        </is>
      </c>
      <c r="G216" s="2" t="inlineStr">
        <is>
          <t>Parkinson, Invecchiamento</t>
        </is>
      </c>
      <c r="H216" s="2" t="inlineStr">
        <is>
          <t>parkinson, movement disorder, aging</t>
        </is>
      </c>
      <c r="I216" s="2" t="inlineStr">
        <is>
          <t>Non analizzato</t>
        </is>
      </c>
      <c r="J216" s="3" t="n"/>
      <c r="K216" s="4" t="n">
        <v>50000</v>
      </c>
      <c r="L216" s="4" t="n"/>
      <c r="M216" s="2" t="inlineStr">
        <is>
          <t>USD</t>
        </is>
      </c>
      <c r="N216" s="2" t="n"/>
      <c r="O216" s="3" t="inlineStr">
        <is>
          <t>Non stimabile – dati insufficienti</t>
        </is>
      </c>
      <c r="P216" s="3" t="inlineStr">
        <is>
          <t>Non indicato</t>
        </is>
      </c>
      <c r="Q216" s="5" t="n"/>
      <c r="R216" s="6">
        <f>IF(Q216="","",Q216-TODAY())</f>
        <v/>
      </c>
      <c r="S216" s="5" t="n"/>
      <c r="T216" s="2" t="n"/>
      <c r="U216" s="2" t="n"/>
      <c r="V216" s="3" t="n"/>
      <c r="W216" s="3" t="n"/>
      <c r="X216" s="2" t="inlineStr">
        <is>
          <t>Mondiale</t>
        </is>
      </c>
      <c r="Y216" s="2" t="inlineStr">
        <is>
          <t>Inglese</t>
        </is>
      </c>
      <c r="Z216" s="7" t="inlineStr">
        <is>
          <t>https://www.parkinson.org/resources-support/professionals/clinical-training-awards</t>
        </is>
      </c>
      <c r="AA216" s="3" t="n"/>
      <c r="AB216" s="2" t="inlineStr">
        <is>
          <t>Scadenza da verificare</t>
        </is>
      </c>
      <c r="AC216" s="5" t="n">
        <v>46312</v>
      </c>
      <c r="AD216" s="5" t="n">
        <v>46312</v>
      </c>
      <c r="AE216" s="2" t="n"/>
    </row>
    <row r="217">
      <c r="A217" s="2" t="inlineStr">
        <is>
          <t>WEB-4c1d9e837e0d</t>
        </is>
      </c>
      <c r="B217" s="2" t="inlineStr">
        <is>
          <t>Parkinson's Foundation</t>
        </is>
      </c>
      <c r="C217" s="2" t="inlineStr">
        <is>
          <t>Community Grant Recipients 0926</t>
        </is>
      </c>
      <c r="D217" s="2" t="inlineStr">
        <is>
          <t>Parkinson's Foundation</t>
        </is>
      </c>
      <c r="E217" s="3" t="inlineStr">
        <is>
          <t>Community Grant Recipients 0926</t>
        </is>
      </c>
      <c r="F217" s="3" t="inlineStr">
        <is>
          <t>Community Grant Recipients 0926</t>
        </is>
      </c>
      <c r="G217" s="2" t="inlineStr">
        <is>
          <t>Parkinson, Tecnologie riabilitazione</t>
        </is>
      </c>
      <c r="H217" s="2" t="inlineStr">
        <is>
          <t>parkinson, rehabilitat, gait</t>
        </is>
      </c>
      <c r="I217" s="2" t="inlineStr">
        <is>
          <t>Non analizzato</t>
        </is>
      </c>
      <c r="J217" s="3" t="n"/>
      <c r="K217" s="4" t="n"/>
      <c r="L217" s="4" t="n"/>
      <c r="M217" s="2" t="n"/>
      <c r="N217" s="2" t="n"/>
      <c r="O217" s="3" t="inlineStr">
        <is>
          <t>Non stimabile – dati insufficienti</t>
        </is>
      </c>
      <c r="P217" s="3" t="inlineStr">
        <is>
          <t>Non indicato</t>
        </is>
      </c>
      <c r="Q217" s="5" t="n"/>
      <c r="R217" s="6">
        <f>IF(Q217="","",Q217-TODAY())</f>
        <v/>
      </c>
      <c r="S217" s="5" t="n"/>
      <c r="T217" s="2" t="n"/>
      <c r="U217" s="2" t="n"/>
      <c r="V217" s="3" t="n"/>
      <c r="W217" s="3" t="n"/>
      <c r="X217" s="2" t="inlineStr">
        <is>
          <t>Mondiale</t>
        </is>
      </c>
      <c r="Y217" s="2" t="inlineStr">
        <is>
          <t>Inglese</t>
        </is>
      </c>
      <c r="Z217" s="7" t="inlineStr">
        <is>
          <t>https://www.parkinson.org/sites/default/files/documents/Community-Grant-Recipients-0926.pdf</t>
        </is>
      </c>
      <c r="AA217" s="3" t="n"/>
      <c r="AB217" s="2" t="inlineStr">
        <is>
          <t>Scadenza da verificare</t>
        </is>
      </c>
      <c r="AC217" s="5" t="n">
        <v>46312</v>
      </c>
      <c r="AD217" s="5" t="n">
        <v>46312</v>
      </c>
      <c r="AE217" s="2" t="n"/>
    </row>
    <row r="218">
      <c r="A218" s="2" t="inlineStr">
        <is>
          <t>WEB-d351af0e9ea6</t>
        </is>
      </c>
      <c r="B218" s="2" t="inlineStr">
        <is>
          <t>Parkinson's Foundation</t>
        </is>
      </c>
      <c r="C218" s="2" t="inlineStr">
        <is>
          <t>2025 Community Grant Recipients</t>
        </is>
      </c>
      <c r="D218" s="2" t="inlineStr">
        <is>
          <t>Parkinson's Foundation</t>
        </is>
      </c>
      <c r="E218" s="3" t="inlineStr">
        <is>
          <t>2025 Community Grant Recipients</t>
        </is>
      </c>
      <c r="F218" s="3" t="inlineStr">
        <is>
          <t>2025 Community Grant Recipients</t>
        </is>
      </c>
      <c r="G218" s="2" t="inlineStr">
        <is>
          <t>Parkinson, Invecchiamento</t>
        </is>
      </c>
      <c r="H218" s="2" t="inlineStr">
        <is>
          <t>parkinson, movement disorder, dementi, rehabilitat, physical therap</t>
        </is>
      </c>
      <c r="I218" s="2" t="inlineStr">
        <is>
          <t>Non analizzato</t>
        </is>
      </c>
      <c r="J218" s="3" t="n"/>
      <c r="K218" s="4" t="n"/>
      <c r="L218" s="4" t="n"/>
      <c r="M218" s="2" t="n"/>
      <c r="N218" s="2" t="n"/>
      <c r="O218" s="3" t="inlineStr">
        <is>
          <t>Non stimabile – dati insufficienti</t>
        </is>
      </c>
      <c r="P218" s="3" t="inlineStr">
        <is>
          <t>Non indicato</t>
        </is>
      </c>
      <c r="Q218" s="5" t="n"/>
      <c r="R218" s="6">
        <f>IF(Q218="","",Q218-TODAY())</f>
        <v/>
      </c>
      <c r="S218" s="5" t="n"/>
      <c r="T218" s="2" t="n"/>
      <c r="U218" s="2" t="n"/>
      <c r="V218" s="3" t="n"/>
      <c r="W218" s="3" t="n"/>
      <c r="X218" s="2" t="inlineStr">
        <is>
          <t>Mondiale</t>
        </is>
      </c>
      <c r="Y218" s="2" t="inlineStr">
        <is>
          <t>Inglese</t>
        </is>
      </c>
      <c r="Z218" s="7" t="inlineStr">
        <is>
          <t>https://www.parkinson.org/sites/default/files/documents/2025-Community-Grant-Recipients.pdf</t>
        </is>
      </c>
      <c r="AA218" s="3" t="n"/>
      <c r="AB218" s="2" t="inlineStr">
        <is>
          <t>Scadenza da verificare</t>
        </is>
      </c>
      <c r="AC218" s="5" t="n">
        <v>46312</v>
      </c>
      <c r="AD218" s="5" t="n">
        <v>46312</v>
      </c>
      <c r="AE218" s="2" t="n"/>
    </row>
    <row r="219">
      <c r="A219" s="2" t="inlineStr">
        <is>
          <t>WEB-0c8fed68f20f</t>
        </is>
      </c>
      <c r="B219" s="2" t="inlineStr">
        <is>
          <t>Parkinson's Foundation</t>
        </is>
      </c>
      <c r="C219" s="2" t="inlineStr">
        <is>
          <t>2024 community grant recipients 0</t>
        </is>
      </c>
      <c r="D219" s="2" t="inlineStr">
        <is>
          <t>Parkinson's Foundation</t>
        </is>
      </c>
      <c r="E219" s="3" t="inlineStr">
        <is>
          <t>2024 community grant recipients 0</t>
        </is>
      </c>
      <c r="F219" s="3" t="inlineStr">
        <is>
          <t>2024 community grant recipients 0</t>
        </is>
      </c>
      <c r="G219" s="2" t="inlineStr">
        <is>
          <t>Parkinson, Invecchiamento</t>
        </is>
      </c>
      <c r="H219" s="2" t="inlineStr">
        <is>
          <t>parkinson, movement disorder, healthy aging, elderly, aging, rehabilitat, physical therap</t>
        </is>
      </c>
      <c r="I219" s="2" t="inlineStr">
        <is>
          <t>Non analizzato</t>
        </is>
      </c>
      <c r="J219" s="3" t="n"/>
      <c r="K219" s="4" t="n"/>
      <c r="L219" s="4" t="n"/>
      <c r="M219" s="2" t="n"/>
      <c r="N219" s="2" t="n"/>
      <c r="O219" s="3" t="inlineStr">
        <is>
          <t>Non stimabile – dati insufficienti</t>
        </is>
      </c>
      <c r="P219" s="3" t="inlineStr">
        <is>
          <t>Non indicato</t>
        </is>
      </c>
      <c r="Q219" s="5" t="n"/>
      <c r="R219" s="6">
        <f>IF(Q219="","",Q219-TODAY())</f>
        <v/>
      </c>
      <c r="S219" s="5" t="n"/>
      <c r="T219" s="2" t="n"/>
      <c r="U219" s="2" t="n"/>
      <c r="V219" s="3" t="n"/>
      <c r="W219" s="3" t="n"/>
      <c r="X219" s="2" t="inlineStr">
        <is>
          <t>Mondiale</t>
        </is>
      </c>
      <c r="Y219" s="2" t="inlineStr">
        <is>
          <t>Inglese</t>
        </is>
      </c>
      <c r="Z219" s="7" t="inlineStr">
        <is>
          <t>https://www.parkinson.org/sites/default/files/documents/2024-community-grant-recipients_0.pdf</t>
        </is>
      </c>
      <c r="AA219" s="3" t="n"/>
      <c r="AB219" s="2" t="inlineStr">
        <is>
          <t>Scadenza da verificare</t>
        </is>
      </c>
      <c r="AC219" s="5" t="n">
        <v>46312</v>
      </c>
      <c r="AD219" s="5" t="n">
        <v>46312</v>
      </c>
      <c r="AE219" s="2" t="n"/>
    </row>
    <row r="220">
      <c r="A220" s="2" t="inlineStr">
        <is>
          <t>WEB-263e527b983a</t>
        </is>
      </c>
      <c r="B220" s="2" t="inlineStr">
        <is>
          <t>Parkinson's Foundation</t>
        </is>
      </c>
      <c r="C220" s="2" t="inlineStr">
        <is>
          <t>2021 community grant recipients</t>
        </is>
      </c>
      <c r="D220" s="2" t="inlineStr">
        <is>
          <t>Parkinson's Foundation</t>
        </is>
      </c>
      <c r="E220" s="3" t="inlineStr">
        <is>
          <t>2021 community grant recipients</t>
        </is>
      </c>
      <c r="F220" s="3" t="inlineStr">
        <is>
          <t>2021 community grant recipients</t>
        </is>
      </c>
      <c r="G220" s="2" t="inlineStr">
        <is>
          <t>Parkinson, Invecchiamento</t>
        </is>
      </c>
      <c r="H220" s="2" t="inlineStr">
        <is>
          <t>parkinson, movement disorder, elderly, neurodegenerat, rehabilitat, physical therap</t>
        </is>
      </c>
      <c r="I220" s="2" t="inlineStr">
        <is>
          <t>Non analizzato</t>
        </is>
      </c>
      <c r="J220" s="3" t="n"/>
      <c r="K220" s="4" t="n"/>
      <c r="L220" s="4" t="n"/>
      <c r="M220" s="2" t="n"/>
      <c r="N220" s="2" t="n"/>
      <c r="O220" s="3" t="inlineStr">
        <is>
          <t>Non stimabile – dati insufficienti</t>
        </is>
      </c>
      <c r="P220" s="3" t="inlineStr">
        <is>
          <t>Non indicato</t>
        </is>
      </c>
      <c r="Q220" s="5" t="n"/>
      <c r="R220" s="6">
        <f>IF(Q220="","",Q220-TODAY())</f>
        <v/>
      </c>
      <c r="S220" s="5" t="n"/>
      <c r="T220" s="2" t="n"/>
      <c r="U220" s="2" t="n"/>
      <c r="V220" s="3" t="n"/>
      <c r="W220" s="3" t="n"/>
      <c r="X220" s="2" t="inlineStr">
        <is>
          <t>Mondiale</t>
        </is>
      </c>
      <c r="Y220" s="2" t="inlineStr">
        <is>
          <t>Inglese</t>
        </is>
      </c>
      <c r="Z220" s="7" t="inlineStr">
        <is>
          <t>https://www.parkinson.org/sites/default/files/documents/2021-community-grant-recipients.pdf</t>
        </is>
      </c>
      <c r="AA220" s="3" t="n"/>
      <c r="AB220" s="2" t="inlineStr">
        <is>
          <t>Scadenza da verificare</t>
        </is>
      </c>
      <c r="AC220" s="5" t="n">
        <v>46312</v>
      </c>
      <c r="AD220" s="5" t="n">
        <v>46312</v>
      </c>
      <c r="AE220" s="2" t="n"/>
    </row>
    <row r="221">
      <c r="A221" s="2" t="inlineStr">
        <is>
          <t>WEB-7036606dac9b</t>
        </is>
      </c>
      <c r="B221" s="2" t="inlineStr">
        <is>
          <t>Parkinson's Foundation</t>
        </is>
      </c>
      <c r="C221" s="2" t="inlineStr">
        <is>
          <t>2020 community grant recipients</t>
        </is>
      </c>
      <c r="D221" s="2" t="inlineStr">
        <is>
          <t>Parkinson's Foundation</t>
        </is>
      </c>
      <c r="E221" s="3" t="inlineStr">
        <is>
          <t>2020 community grant recipients</t>
        </is>
      </c>
      <c r="F221" s="3" t="inlineStr">
        <is>
          <t>2020 community grant recipients</t>
        </is>
      </c>
      <c r="G221" s="2" t="inlineStr">
        <is>
          <t>Parkinson</t>
        </is>
      </c>
      <c r="H221" s="2" t="inlineStr">
        <is>
          <t>parkinson, rehabilitat, physical therap</t>
        </is>
      </c>
      <c r="I221" s="2" t="inlineStr">
        <is>
          <t>Non analizzato</t>
        </is>
      </c>
      <c r="J221" s="3" t="n"/>
      <c r="K221" s="4" t="n"/>
      <c r="L221" s="4" t="n"/>
      <c r="M221" s="2" t="n"/>
      <c r="N221" s="2" t="n"/>
      <c r="O221" s="3" t="inlineStr">
        <is>
          <t>Non stimabile – dati insufficienti</t>
        </is>
      </c>
      <c r="P221" s="3" t="inlineStr">
        <is>
          <t>Non indicato</t>
        </is>
      </c>
      <c r="Q221" s="5" t="n"/>
      <c r="R221" s="6">
        <f>IF(Q221="","",Q221-TODAY())</f>
        <v/>
      </c>
      <c r="S221" s="5" t="n"/>
      <c r="T221" s="2" t="n"/>
      <c r="U221" s="2" t="n"/>
      <c r="V221" s="3" t="n"/>
      <c r="W221" s="3" t="n"/>
      <c r="X221" s="2" t="inlineStr">
        <is>
          <t>Mondiale</t>
        </is>
      </c>
      <c r="Y221" s="2" t="inlineStr">
        <is>
          <t>Inglese</t>
        </is>
      </c>
      <c r="Z221" s="7" t="inlineStr">
        <is>
          <t>https://www.parkinson.org/sites/default/files/documents/2020-community-grant-recipients.pdf</t>
        </is>
      </c>
      <c r="AA221" s="3" t="n"/>
      <c r="AB221" s="2" t="inlineStr">
        <is>
          <t>Scadenza da verificare</t>
        </is>
      </c>
      <c r="AC221" s="5" t="n">
        <v>46312</v>
      </c>
      <c r="AD221" s="5" t="n">
        <v>46312</v>
      </c>
      <c r="AE221" s="2" t="n"/>
    </row>
    <row r="222">
      <c r="A222" s="2" t="inlineStr">
        <is>
          <t>WEB-65764dcc476f</t>
        </is>
      </c>
      <c r="B222" s="2" t="inlineStr">
        <is>
          <t>Parkinson's Foundation</t>
        </is>
      </c>
      <c r="C222" s="2" t="inlineStr">
        <is>
          <t>2019 community grant recipients</t>
        </is>
      </c>
      <c r="D222" s="2" t="inlineStr">
        <is>
          <t>Parkinson's Foundation</t>
        </is>
      </c>
      <c r="E222" s="3" t="inlineStr">
        <is>
          <t>2019 community grant recipients</t>
        </is>
      </c>
      <c r="F222" s="3" t="inlineStr">
        <is>
          <t>2019 community grant recipients</t>
        </is>
      </c>
      <c r="G222" s="2" t="inlineStr">
        <is>
          <t>Parkinson, Invecchiamento</t>
        </is>
      </c>
      <c r="H222" s="2" t="inlineStr">
        <is>
          <t>parkinson, movement disorder, aging, rehabilitat, physical therap, motor function</t>
        </is>
      </c>
      <c r="I222" s="2" t="inlineStr">
        <is>
          <t>Non analizzato</t>
        </is>
      </c>
      <c r="J222" s="3" t="n"/>
      <c r="K222" s="4" t="n"/>
      <c r="L222" s="4" t="n"/>
      <c r="M222" s="2" t="n"/>
      <c r="N222" s="2" t="n"/>
      <c r="O222" s="3" t="inlineStr">
        <is>
          <t>Non stimabile – dati insufficienti</t>
        </is>
      </c>
      <c r="P222" s="3" t="inlineStr">
        <is>
          <t>Non indicato</t>
        </is>
      </c>
      <c r="Q222" s="5" t="n"/>
      <c r="R222" s="6">
        <f>IF(Q222="","",Q222-TODAY())</f>
        <v/>
      </c>
      <c r="S222" s="5" t="n"/>
      <c r="T222" s="2" t="n"/>
      <c r="U222" s="2" t="n"/>
      <c r="V222" s="3" t="n"/>
      <c r="W222" s="3" t="n"/>
      <c r="X222" s="2" t="inlineStr">
        <is>
          <t>Mondiale</t>
        </is>
      </c>
      <c r="Y222" s="2" t="inlineStr">
        <is>
          <t>Inglese</t>
        </is>
      </c>
      <c r="Z222" s="7" t="inlineStr">
        <is>
          <t>https://www.parkinson.org/sites/default/files/documents/2019-community-grant-recipients.pdf</t>
        </is>
      </c>
      <c r="AA222" s="3" t="n"/>
      <c r="AB222" s="2" t="inlineStr">
        <is>
          <t>Scadenza da verificare</t>
        </is>
      </c>
      <c r="AC222" s="5" t="n">
        <v>46312</v>
      </c>
      <c r="AD222" s="5" t="n">
        <v>46312</v>
      </c>
      <c r="AE222" s="2" t="n"/>
    </row>
    <row r="223">
      <c r="A223" s="2" t="inlineStr">
        <is>
          <t>WEB-a8e98c9a5bb6</t>
        </is>
      </c>
      <c r="B223" s="2" t="inlineStr">
        <is>
          <t>Parkinson's Foundation</t>
        </is>
      </c>
      <c r="C223" s="2" t="inlineStr">
        <is>
          <t>Parkinson’s Foundation Research Advocates Influence Parkinson’s Funding</t>
        </is>
      </c>
      <c r="D223" s="2" t="inlineStr">
        <is>
          <t>Parkinson's Foundation</t>
        </is>
      </c>
      <c r="E223" s="3" t="inlineStr">
        <is>
          <t>Parkinson’s Foundation Research Advocates Influence Parkinson’s Funding</t>
        </is>
      </c>
      <c r="F223" s="3" t="inlineStr">
        <is>
          <t>Parkinson’s Foundation Research Advocates Influence Parkinson’s Funding</t>
        </is>
      </c>
      <c r="G223" s="2" t="inlineStr">
        <is>
          <t>Parkinson</t>
        </is>
      </c>
      <c r="H223" s="2" t="inlineStr">
        <is>
          <t>parkinson</t>
        </is>
      </c>
      <c r="I223" s="2" t="inlineStr">
        <is>
          <t>Non analizzato</t>
        </is>
      </c>
      <c r="J223" s="3" t="n"/>
      <c r="K223" s="4" t="n"/>
      <c r="L223" s="4" t="n"/>
      <c r="M223" s="2" t="n"/>
      <c r="N223" s="2" t="n"/>
      <c r="O223" s="3" t="inlineStr">
        <is>
          <t>Non stimabile – dati insufficienti</t>
        </is>
      </c>
      <c r="P223" s="3" t="inlineStr">
        <is>
          <t>Non indicato</t>
        </is>
      </c>
      <c r="Q223" s="5" t="n"/>
      <c r="R223" s="6">
        <f>IF(Q223="","",Q223-TODAY())</f>
        <v/>
      </c>
      <c r="S223" s="5" t="n"/>
      <c r="T223" s="2" t="n"/>
      <c r="U223" s="2" t="n"/>
      <c r="V223" s="3" t="n"/>
      <c r="W223" s="3" t="n"/>
      <c r="X223" s="2" t="inlineStr">
        <is>
          <t>Mondiale</t>
        </is>
      </c>
      <c r="Y223" s="2" t="inlineStr">
        <is>
          <t>Inglese</t>
        </is>
      </c>
      <c r="Z223" s="7" t="inlineStr">
        <is>
          <t>https://www.parkinson.org/blog/research/advocates-funding</t>
        </is>
      </c>
      <c r="AA223" s="3" t="n"/>
      <c r="AB223" s="2" t="inlineStr">
        <is>
          <t>Scadenza da verificare</t>
        </is>
      </c>
      <c r="AC223" s="5" t="n">
        <v>46312</v>
      </c>
      <c r="AD223" s="5" t="n">
        <v>46312</v>
      </c>
      <c r="AE223" s="2" t="n"/>
    </row>
    <row r="224">
      <c r="A224" s="2" t="inlineStr">
        <is>
          <t>WEB-9475ad4abb00</t>
        </is>
      </c>
      <c r="B224" s="2" t="inlineStr">
        <is>
          <t>Alzheimer's Association</t>
        </is>
      </c>
      <c r="C224" s="2" t="inlineStr">
        <is>
          <t>2024 portfolio Final docx</t>
        </is>
      </c>
      <c r="D224" s="2" t="inlineStr">
        <is>
          <t>Alzheimer's Association</t>
        </is>
      </c>
      <c r="E224" s="3" t="inlineStr">
        <is>
          <t>2024 portfolio Final docx</t>
        </is>
      </c>
      <c r="F224" s="3" t="inlineStr">
        <is>
          <t>2024 portfolio Final docx</t>
        </is>
      </c>
      <c r="G224" s="2" t="inlineStr">
        <is>
          <t>Invecchiamento</t>
        </is>
      </c>
      <c r="H224" s="2" t="inlineStr">
        <is>
          <t>dementi, alzheimer, neurodegenerat</t>
        </is>
      </c>
      <c r="I224" s="2" t="inlineStr">
        <is>
          <t>Non analizzato</t>
        </is>
      </c>
      <c r="J224" s="3" t="n"/>
      <c r="K224" s="4" t="n"/>
      <c r="L224" s="4" t="n"/>
      <c r="M224" s="2" t="n"/>
      <c r="N224" s="2" t="n"/>
      <c r="O224" s="3" t="inlineStr">
        <is>
          <t>Non stimabile – dati insufficienti</t>
        </is>
      </c>
      <c r="P224" s="3" t="inlineStr">
        <is>
          <t>Non indicato</t>
        </is>
      </c>
      <c r="Q224" s="5" t="n"/>
      <c r="R224" s="6">
        <f>IF(Q224="","",Q224-TODAY())</f>
        <v/>
      </c>
      <c r="S224" s="5" t="n"/>
      <c r="T224" s="2" t="n"/>
      <c r="U224" s="2" t="n"/>
      <c r="V224" s="3" t="n"/>
      <c r="W224" s="3" t="n"/>
      <c r="X224" s="2" t="inlineStr">
        <is>
          <t>Mondiale</t>
        </is>
      </c>
      <c r="Y224" s="2" t="inlineStr">
        <is>
          <t>Inglese</t>
        </is>
      </c>
      <c r="Z224" s="7" t="inlineStr">
        <is>
          <t>https://www.alz.org/getmedia/0fc92b36-c95c-497a-a24e-3f3b3674f75a/2024-portfolio_Final-docx.pdf</t>
        </is>
      </c>
      <c r="AA224" s="3" t="n"/>
      <c r="AB224" s="2" t="inlineStr">
        <is>
          <t>Scadenza da verificare</t>
        </is>
      </c>
      <c r="AC224" s="5" t="n">
        <v>46312</v>
      </c>
      <c r="AD224" s="5" t="n">
        <v>46312</v>
      </c>
      <c r="AE224" s="2" t="n"/>
    </row>
    <row r="225">
      <c r="A225" s="2" t="inlineStr">
        <is>
          <t>WEB-6b93e3513da3</t>
        </is>
      </c>
      <c r="B225" s="2" t="inlineStr">
        <is>
          <t>Alzheimer's Association</t>
        </is>
      </c>
      <c r="C225" s="2" t="inlineStr">
        <is>
          <t>2023portfolio V1 docx</t>
        </is>
      </c>
      <c r="D225" s="2" t="inlineStr">
        <is>
          <t>Alzheimer's Association</t>
        </is>
      </c>
      <c r="E225" s="3" t="inlineStr">
        <is>
          <t>2023portfolio V1 docx</t>
        </is>
      </c>
      <c r="F225" s="3" t="inlineStr">
        <is>
          <t>2023portfolio V1 docx</t>
        </is>
      </c>
      <c r="G225" s="2" t="inlineStr">
        <is>
          <t>Invecchiamento</t>
        </is>
      </c>
      <c r="H225" s="2" t="inlineStr">
        <is>
          <t>dementi, alzheimer, neurodegenerat</t>
        </is>
      </c>
      <c r="I225" s="2" t="inlineStr">
        <is>
          <t>Non analizzato</t>
        </is>
      </c>
      <c r="J225" s="3" t="n"/>
      <c r="K225" s="4" t="n"/>
      <c r="L225" s="4" t="n"/>
      <c r="M225" s="2" t="n"/>
      <c r="N225" s="2" t="n"/>
      <c r="O225" s="3" t="inlineStr">
        <is>
          <t>Non stimabile – dati insufficienti</t>
        </is>
      </c>
      <c r="P225" s="3" t="inlineStr">
        <is>
          <t>Non indicato</t>
        </is>
      </c>
      <c r="Q225" s="5" t="n"/>
      <c r="R225" s="6">
        <f>IF(Q225="","",Q225-TODAY())</f>
        <v/>
      </c>
      <c r="S225" s="5" t="n"/>
      <c r="T225" s="2" t="n"/>
      <c r="U225" s="2" t="n"/>
      <c r="V225" s="3" t="n"/>
      <c r="W225" s="3" t="n"/>
      <c r="X225" s="2" t="inlineStr">
        <is>
          <t>Mondiale</t>
        </is>
      </c>
      <c r="Y225" s="2" t="inlineStr">
        <is>
          <t>Inglese</t>
        </is>
      </c>
      <c r="Z225" s="7" t="inlineStr">
        <is>
          <t>https://www.alz.org/getmedia/c0233796-0c95-4ee9-a272-5d6db41970cb/2023portfolio_V1-docx.pdf</t>
        </is>
      </c>
      <c r="AA225" s="3" t="n"/>
      <c r="AB225" s="2" t="inlineStr">
        <is>
          <t>Scadenza da verificare</t>
        </is>
      </c>
      <c r="AC225" s="5" t="n">
        <v>46312</v>
      </c>
      <c r="AD225" s="5" t="n">
        <v>46312</v>
      </c>
      <c r="AE225" s="2" t="n"/>
    </row>
    <row r="226">
      <c r="A226" s="2" t="inlineStr">
        <is>
          <t>WEB-8a81530f72fa</t>
        </is>
      </c>
      <c r="B226" s="2" t="inlineStr">
        <is>
          <t>Alzheimer's Association</t>
        </is>
      </c>
      <c r="C226" s="2" t="inlineStr">
        <is>
          <t>2022portfolio Final docx</t>
        </is>
      </c>
      <c r="D226" s="2" t="inlineStr">
        <is>
          <t>Alzheimer's Association</t>
        </is>
      </c>
      <c r="E226" s="3" t="inlineStr">
        <is>
          <t>2022portfolio Final docx</t>
        </is>
      </c>
      <c r="F226" s="3" t="inlineStr">
        <is>
          <t>2022portfolio Final docx</t>
        </is>
      </c>
      <c r="G226" s="2" t="inlineStr">
        <is>
          <t>Invecchiamento</t>
        </is>
      </c>
      <c r="H226" s="2" t="inlineStr">
        <is>
          <t>dementi, alzheimer</t>
        </is>
      </c>
      <c r="I226" s="2" t="inlineStr">
        <is>
          <t>Non analizzato</t>
        </is>
      </c>
      <c r="J226" s="3" t="n"/>
      <c r="K226" s="4" t="n"/>
      <c r="L226" s="4" t="n"/>
      <c r="M226" s="2" t="n"/>
      <c r="N226" s="2" t="n"/>
      <c r="O226" s="3" t="inlineStr">
        <is>
          <t>Non stimabile – dati insufficienti</t>
        </is>
      </c>
      <c r="P226" s="3" t="inlineStr">
        <is>
          <t>Non indicato</t>
        </is>
      </c>
      <c r="Q226" s="5" t="n"/>
      <c r="R226" s="6">
        <f>IF(Q226="","",Q226-TODAY())</f>
        <v/>
      </c>
      <c r="S226" s="5" t="n"/>
      <c r="T226" s="2" t="n"/>
      <c r="U226" s="2" t="n"/>
      <c r="V226" s="3" t="n"/>
      <c r="W226" s="3" t="n"/>
      <c r="X226" s="2" t="inlineStr">
        <is>
          <t>Mondiale</t>
        </is>
      </c>
      <c r="Y226" s="2" t="inlineStr">
        <is>
          <t>Inglese</t>
        </is>
      </c>
      <c r="Z226" s="7" t="inlineStr">
        <is>
          <t>https://www.alz.org/getmedia/a7d08ef3-15fb-4bf0-a465-dcb3c43b0223/2022portfolio_Final-docx.pdf</t>
        </is>
      </c>
      <c r="AA226" s="3" t="n"/>
      <c r="AB226" s="2" t="inlineStr">
        <is>
          <t>Scadenza da verificare</t>
        </is>
      </c>
      <c r="AC226" s="5" t="n">
        <v>46312</v>
      </c>
      <c r="AD226" s="5" t="n">
        <v>46312</v>
      </c>
      <c r="AE226" s="2" t="n"/>
    </row>
    <row r="227">
      <c r="A227" s="2" t="inlineStr">
        <is>
          <t>WEB-89da81324ae4</t>
        </is>
      </c>
      <c r="B227" s="2" t="inlineStr">
        <is>
          <t>Alzheimer's Association</t>
        </is>
      </c>
      <c r="C227" s="2" t="inlineStr">
        <is>
          <t>2021 portfolio</t>
        </is>
      </c>
      <c r="D227" s="2" t="inlineStr">
        <is>
          <t>Alzheimer's Association</t>
        </is>
      </c>
      <c r="E227" s="3" t="inlineStr">
        <is>
          <t>2021 portfolio</t>
        </is>
      </c>
      <c r="F227" s="3" t="inlineStr">
        <is>
          <t>2021 portfolio</t>
        </is>
      </c>
      <c r="G227" s="2" t="inlineStr">
        <is>
          <t>Invecchiamento</t>
        </is>
      </c>
      <c r="H227" s="2" t="inlineStr">
        <is>
          <t>dementi, alzheimer, cognitive decline, older adults</t>
        </is>
      </c>
      <c r="I227" s="2" t="inlineStr">
        <is>
          <t>Non analizzato</t>
        </is>
      </c>
      <c r="J227" s="3" t="n"/>
      <c r="K227" s="4" t="n"/>
      <c r="L227" s="4" t="n"/>
      <c r="M227" s="2" t="n"/>
      <c r="N227" s="2" t="n"/>
      <c r="O227" s="3" t="inlineStr">
        <is>
          <t>Non stimabile – dati insufficienti</t>
        </is>
      </c>
      <c r="P227" s="3" t="inlineStr">
        <is>
          <t>Non indicato</t>
        </is>
      </c>
      <c r="Q227" s="5" t="n"/>
      <c r="R227" s="6">
        <f>IF(Q227="","",Q227-TODAY())</f>
        <v/>
      </c>
      <c r="S227" s="5" t="n"/>
      <c r="T227" s="2" t="n"/>
      <c r="U227" s="2" t="n"/>
      <c r="V227" s="3" t="n"/>
      <c r="W227" s="3" t="n"/>
      <c r="X227" s="2" t="inlineStr">
        <is>
          <t>Mondiale</t>
        </is>
      </c>
      <c r="Y227" s="2" t="inlineStr">
        <is>
          <t>Inglese</t>
        </is>
      </c>
      <c r="Z227" s="7" t="inlineStr">
        <is>
          <t>https://www.alz.org/getmedia/4a2ead02-e69b-4aed-a323-f8e3f32749ba/2021-portfolio.pdf</t>
        </is>
      </c>
      <c r="AA227" s="3" t="n"/>
      <c r="AB227" s="2" t="inlineStr">
        <is>
          <t>Scadenza da verificare</t>
        </is>
      </c>
      <c r="AC227" s="5" t="n">
        <v>46312</v>
      </c>
      <c r="AD227" s="5" t="n">
        <v>46312</v>
      </c>
      <c r="AE227" s="2" t="n"/>
    </row>
    <row r="228">
      <c r="A228" s="2" t="inlineStr">
        <is>
          <t>WEB-07f48082dac7</t>
        </is>
      </c>
      <c r="B228" s="2" t="inlineStr">
        <is>
          <t>Alzheimer's Association</t>
        </is>
      </c>
      <c r="C228" s="2" t="inlineStr">
        <is>
          <t>grant awards strategic research portfolio profile 2020 pdf 1</t>
        </is>
      </c>
      <c r="D228" s="2" t="inlineStr">
        <is>
          <t>Alzheimer's Association</t>
        </is>
      </c>
      <c r="E228" s="3" t="inlineStr">
        <is>
          <t>grant awards strategic research portfolio profile 2020 pdf 1</t>
        </is>
      </c>
      <c r="F228" s="3" t="inlineStr">
        <is>
          <t>grant awards strategic research portfolio profile 2020 pdf 1</t>
        </is>
      </c>
      <c r="G228" s="2" t="inlineStr">
        <is>
          <t>Invecchiamento</t>
        </is>
      </c>
      <c r="H228" s="2" t="inlineStr">
        <is>
          <t>dementi, alzheimer, healthy aging, older adults, aging</t>
        </is>
      </c>
      <c r="I228" s="2" t="inlineStr">
        <is>
          <t>Non analizzato</t>
        </is>
      </c>
      <c r="J228" s="3" t="n"/>
      <c r="K228" s="4" t="n"/>
      <c r="L228" s="4" t="n"/>
      <c r="M228" s="2" t="n"/>
      <c r="N228" s="2" t="n"/>
      <c r="O228" s="3" t="inlineStr">
        <is>
          <t>Non stimabile – dati insufficienti</t>
        </is>
      </c>
      <c r="P228" s="3" t="inlineStr">
        <is>
          <t>Non indicato</t>
        </is>
      </c>
      <c r="Q228" s="5" t="n"/>
      <c r="R228" s="6">
        <f>IF(Q228="","",Q228-TODAY())</f>
        <v/>
      </c>
      <c r="S228" s="5" t="n"/>
      <c r="T228" s="2" t="n"/>
      <c r="U228" s="2" t="n"/>
      <c r="V228" s="3" t="n"/>
      <c r="W228" s="3" t="n"/>
      <c r="X228" s="2" t="inlineStr">
        <is>
          <t>Mondiale</t>
        </is>
      </c>
      <c r="Y228" s="2" t="inlineStr">
        <is>
          <t>Inglese</t>
        </is>
      </c>
      <c r="Z228" s="7" t="inlineStr">
        <is>
          <t>https://www.alz.org/getmedia/e0f92cc9-1b1a-4c40-a936-fc9c8bceeedd/grant-awards-strategic-research-portfolio-profile-2020-pdf-1.pdf</t>
        </is>
      </c>
      <c r="AA228" s="3" t="n"/>
      <c r="AB228" s="2" t="inlineStr">
        <is>
          <t>Scadenza da verificare</t>
        </is>
      </c>
      <c r="AC228" s="5" t="n">
        <v>46312</v>
      </c>
      <c r="AD228" s="5" t="n">
        <v>46312</v>
      </c>
      <c r="AE228" s="2" t="n"/>
    </row>
    <row r="229">
      <c r="A229" s="2" t="inlineStr">
        <is>
          <t>WEB-9370b382d822</t>
        </is>
      </c>
      <c r="B229" s="2" t="inlineStr">
        <is>
          <t>Alzheimer's Association</t>
        </is>
      </c>
      <c r="C229" s="2" t="inlineStr">
        <is>
          <t>research grants by country state 2020</t>
        </is>
      </c>
      <c r="D229" s="2" t="inlineStr">
        <is>
          <t>Alzheimer's Association</t>
        </is>
      </c>
      <c r="E229" s="3" t="inlineStr">
        <is>
          <t>research grants by country state 2020</t>
        </is>
      </c>
      <c r="F229" s="3" t="inlineStr">
        <is>
          <t>research grants by country state 2020</t>
        </is>
      </c>
      <c r="G229" s="2" t="inlineStr">
        <is>
          <t>Ictus, Parkinson, Invecchiamento</t>
        </is>
      </c>
      <c r="H229" s="2" t="inlineStr">
        <is>
          <t>stroke, aphasia, deep brain stimulation, dementi, alzheimer, cognitive impairment, older adults, ageing, neurodegenerat, motor learning</t>
        </is>
      </c>
      <c r="I229" s="2" t="inlineStr">
        <is>
          <t>Non analizzato</t>
        </is>
      </c>
      <c r="J229" s="3" t="n"/>
      <c r="K229" s="4" t="n">
        <v>149710</v>
      </c>
      <c r="L229" s="4" t="n"/>
      <c r="M229" s="2" t="inlineStr">
        <is>
          <t>USD</t>
        </is>
      </c>
      <c r="N229" s="2" t="n"/>
      <c r="O229" s="3" t="inlineStr">
        <is>
          <t>Non stimabile – dati insufficienti</t>
        </is>
      </c>
      <c r="P229" s="3" t="inlineStr">
        <is>
          <t>Non indicato</t>
        </is>
      </c>
      <c r="Q229" s="5" t="n"/>
      <c r="R229" s="6">
        <f>IF(Q229="","",Q229-TODAY())</f>
        <v/>
      </c>
      <c r="S229" s="5" t="n"/>
      <c r="T229" s="2" t="n"/>
      <c r="U229" s="2" t="n"/>
      <c r="V229" s="3" t="n"/>
      <c r="W229" s="3" t="n"/>
      <c r="X229" s="2" t="inlineStr">
        <is>
          <t>Mondiale</t>
        </is>
      </c>
      <c r="Y229" s="2" t="inlineStr">
        <is>
          <t>Inglese</t>
        </is>
      </c>
      <c r="Z229" s="7" t="inlineStr">
        <is>
          <t>https://www.alz.org/getmedia/16673fa1-39b6-45dc-a504-e3a1b2dd6778/research-grants-by-country-state-2020.pdf</t>
        </is>
      </c>
      <c r="AA229" s="3" t="n"/>
      <c r="AB229" s="2" t="inlineStr">
        <is>
          <t>Scadenza da verificare</t>
        </is>
      </c>
      <c r="AC229" s="5" t="n">
        <v>46312</v>
      </c>
      <c r="AD229" s="5" t="n">
        <v>46312</v>
      </c>
      <c r="AE229" s="2" t="n"/>
    </row>
    <row r="230">
      <c r="A230" s="2" t="inlineStr">
        <is>
          <t>WEB-be3389bfd116</t>
        </is>
      </c>
      <c r="B230" s="2" t="inlineStr">
        <is>
          <t>Alzheimer's Association</t>
        </is>
      </c>
      <c r="C230" s="2" t="inlineStr">
        <is>
          <t>grants by research categories 2020</t>
        </is>
      </c>
      <c r="D230" s="2" t="inlineStr">
        <is>
          <t>Alzheimer's Association</t>
        </is>
      </c>
      <c r="E230" s="3" t="inlineStr">
        <is>
          <t>grants by research categories 2020</t>
        </is>
      </c>
      <c r="F230" s="3" t="inlineStr">
        <is>
          <t>grants by research categories 2020</t>
        </is>
      </c>
      <c r="G230" s="2" t="inlineStr">
        <is>
          <t>Ictus, Parkinson, Invecchiamento</t>
        </is>
      </c>
      <c r="H230" s="2" t="inlineStr">
        <is>
          <t>cerebrovascula, deep brain stimulation, dementi, alzheimer, cognitive impairment, ageing, neurodegenerat, motor learning</t>
        </is>
      </c>
      <c r="I230" s="2" t="inlineStr">
        <is>
          <t>Non analizzato</t>
        </is>
      </c>
      <c r="J230" s="3" t="n"/>
      <c r="K230" s="4" t="n">
        <v>149710</v>
      </c>
      <c r="L230" s="4" t="n"/>
      <c r="M230" s="2" t="inlineStr">
        <is>
          <t>USD</t>
        </is>
      </c>
      <c r="N230" s="2" t="n"/>
      <c r="O230" s="3" t="inlineStr">
        <is>
          <t>Non stimabile – dati insufficienti</t>
        </is>
      </c>
      <c r="P230" s="3" t="inlineStr">
        <is>
          <t>Non indicato</t>
        </is>
      </c>
      <c r="Q230" s="5" t="n"/>
      <c r="R230" s="6">
        <f>IF(Q230="","",Q230-TODAY())</f>
        <v/>
      </c>
      <c r="S230" s="5" t="n"/>
      <c r="T230" s="2" t="n"/>
      <c r="U230" s="2" t="n"/>
      <c r="V230" s="3" t="n"/>
      <c r="W230" s="3" t="n"/>
      <c r="X230" s="2" t="inlineStr">
        <is>
          <t>Mondiale</t>
        </is>
      </c>
      <c r="Y230" s="2" t="inlineStr">
        <is>
          <t>Inglese</t>
        </is>
      </c>
      <c r="Z230" s="7" t="inlineStr">
        <is>
          <t>https://www.alz.org/getmedia/95dd8f49-54c7-4538-8958-49c5bd28c762/grants-by-research-categories-2020.pdf</t>
        </is>
      </c>
      <c r="AA230" s="3" t="n"/>
      <c r="AB230" s="2" t="inlineStr">
        <is>
          <t>Scadenza da verificare</t>
        </is>
      </c>
      <c r="AC230" s="5" t="n">
        <v>46312</v>
      </c>
      <c r="AD230" s="5" t="n">
        <v>46312</v>
      </c>
      <c r="AE230" s="2" t="n"/>
    </row>
    <row r="231">
      <c r="A231" s="2" t="inlineStr">
        <is>
          <t>WEB-4a892227504e</t>
        </is>
      </c>
      <c r="B231" s="2" t="inlineStr">
        <is>
          <t>Alzheimer's Association</t>
        </is>
      </c>
      <c r="C231" s="2" t="inlineStr">
        <is>
          <t>research grants portfolio profile 2019</t>
        </is>
      </c>
      <c r="D231" s="2" t="inlineStr">
        <is>
          <t>Alzheimer's Association</t>
        </is>
      </c>
      <c r="E231" s="3" t="inlineStr">
        <is>
          <t>research grants portfolio profile 2019</t>
        </is>
      </c>
      <c r="F231" s="3" t="inlineStr">
        <is>
          <t>research grants portfolio profile 2019</t>
        </is>
      </c>
      <c r="G231" s="2" t="inlineStr">
        <is>
          <t>Parkinson, Invecchiamento</t>
        </is>
      </c>
      <c r="H231" s="2" t="inlineStr">
        <is>
          <t>parkinson, dementi, alzheimer, cognitive impairment, older adults, neurodegenerat</t>
        </is>
      </c>
      <c r="I231" s="2" t="inlineStr">
        <is>
          <t>Non analizzato</t>
        </is>
      </c>
      <c r="J231" s="3" t="n"/>
      <c r="K231" s="4" t="n"/>
      <c r="L231" s="4" t="n"/>
      <c r="M231" s="2" t="n"/>
      <c r="N231" s="2" t="n"/>
      <c r="O231" s="3" t="inlineStr">
        <is>
          <t>Non stimabile – dati insufficienti</t>
        </is>
      </c>
      <c r="P231" s="3" t="inlineStr">
        <is>
          <t>Non indicato</t>
        </is>
      </c>
      <c r="Q231" s="5" t="n"/>
      <c r="R231" s="6">
        <f>IF(Q231="","",Q231-TODAY())</f>
        <v/>
      </c>
      <c r="S231" s="5" t="n"/>
      <c r="T231" s="2" t="n"/>
      <c r="U231" s="2" t="n"/>
      <c r="V231" s="3" t="n"/>
      <c r="W231" s="3" t="n"/>
      <c r="X231" s="2" t="inlineStr">
        <is>
          <t>Mondiale</t>
        </is>
      </c>
      <c r="Y231" s="2" t="inlineStr">
        <is>
          <t>Inglese</t>
        </is>
      </c>
      <c r="Z231" s="7" t="inlineStr">
        <is>
          <t>https://www.alz.org/getmedia/ca9c93d0-5ba4-44c0-829c-5fd24c010f85/research-grants-portfolio-profile-2019.pdf</t>
        </is>
      </c>
      <c r="AA231" s="3" t="n"/>
      <c r="AB231" s="2" t="inlineStr">
        <is>
          <t>Scadenza da verificare</t>
        </is>
      </c>
      <c r="AC231" s="5" t="n">
        <v>46312</v>
      </c>
      <c r="AD231" s="5" t="n">
        <v>46312</v>
      </c>
      <c r="AE231" s="2" t="n"/>
    </row>
    <row r="232">
      <c r="A232" s="2" t="inlineStr">
        <is>
          <t>WEB-af00136c7d74</t>
        </is>
      </c>
      <c r="B232" s="2" t="inlineStr">
        <is>
          <t>Alzheimer's Association</t>
        </is>
      </c>
      <c r="C232" s="2" t="inlineStr">
        <is>
          <t>Alzheimer sAssociation GrantPortfolioAtAGlance 2019</t>
        </is>
      </c>
      <c r="D232" s="2" t="inlineStr">
        <is>
          <t>Alzheimer's Association</t>
        </is>
      </c>
      <c r="E232" s="3" t="inlineStr">
        <is>
          <t>Alzheimer sAssociation GrantPortfolioAtAGlance 2019</t>
        </is>
      </c>
      <c r="F232" s="3" t="inlineStr">
        <is>
          <t>Alzheimer sAssociation GrantPortfolioAtAGlance 2019</t>
        </is>
      </c>
      <c r="G232" s="2" t="inlineStr">
        <is>
          <t>Invecchiamento</t>
        </is>
      </c>
      <c r="H232" s="2" t="inlineStr">
        <is>
          <t>dementi, alzheimer</t>
        </is>
      </c>
      <c r="I232" s="2" t="inlineStr">
        <is>
          <t>Non analizzato</t>
        </is>
      </c>
      <c r="J232" s="3" t="n"/>
      <c r="K232" s="4" t="n"/>
      <c r="L232" s="4" t="n"/>
      <c r="M232" s="2" t="n"/>
      <c r="N232" s="2" t="n"/>
      <c r="O232" s="3" t="inlineStr">
        <is>
          <t>Non stimabile – dati insufficienti</t>
        </is>
      </c>
      <c r="P232" s="3" t="inlineStr">
        <is>
          <t>Non indicato</t>
        </is>
      </c>
      <c r="Q232" s="5" t="n"/>
      <c r="R232" s="6">
        <f>IF(Q232="","",Q232-TODAY())</f>
        <v/>
      </c>
      <c r="S232" s="5" t="n"/>
      <c r="T232" s="2" t="n"/>
      <c r="U232" s="2" t="n"/>
      <c r="V232" s="3" t="n"/>
      <c r="W232" s="3" t="n"/>
      <c r="X232" s="2" t="inlineStr">
        <is>
          <t>Mondiale</t>
        </is>
      </c>
      <c r="Y232" s="2" t="inlineStr">
        <is>
          <t>Inglese</t>
        </is>
      </c>
      <c r="Z232" s="7" t="inlineStr">
        <is>
          <t>https://www.alz.org/getmedia/8b94d564-5f7d-4dd9-ad15-01e48ae1af0c/Alzheimer-sAssociation_GrantPortfolioAtAGlance_2019.pdf</t>
        </is>
      </c>
      <c r="AA232" s="3" t="n"/>
      <c r="AB232" s="2" t="inlineStr">
        <is>
          <t>Scadenza da verificare</t>
        </is>
      </c>
      <c r="AC232" s="5" t="n">
        <v>46312</v>
      </c>
      <c r="AD232" s="5" t="n">
        <v>46312</v>
      </c>
      <c r="AE232" s="2" t="n"/>
    </row>
    <row r="233">
      <c r="A233" s="2" t="inlineStr">
        <is>
          <t>WEB-714264f0c35d</t>
        </is>
      </c>
      <c r="B233" s="2" t="inlineStr">
        <is>
          <t>Alzheimer's Association</t>
        </is>
      </c>
      <c r="C233" s="2" t="inlineStr">
        <is>
          <t>grants country state 2019</t>
        </is>
      </c>
      <c r="D233" s="2" t="inlineStr">
        <is>
          <t>Alzheimer's Association</t>
        </is>
      </c>
      <c r="E233" s="3" t="inlineStr">
        <is>
          <t>grants country state 2019</t>
        </is>
      </c>
      <c r="F233" s="3" t="inlineStr">
        <is>
          <t>grants country state 2019</t>
        </is>
      </c>
      <c r="G233" s="2" t="inlineStr">
        <is>
          <t>Ictus, Invecchiamento</t>
        </is>
      </c>
      <c r="H233" s="2" t="inlineStr">
        <is>
          <t>aphasia, dementi, alzheimer, cognitive impairment, older adults, aging, neurodegenerat</t>
        </is>
      </c>
      <c r="I233" s="2" t="inlineStr">
        <is>
          <t>Non analizzato</t>
        </is>
      </c>
      <c r="J233" s="3" t="n"/>
      <c r="K233" s="4" t="n">
        <v>149975</v>
      </c>
      <c r="L233" s="4" t="n"/>
      <c r="M233" s="2" t="inlineStr">
        <is>
          <t>USD</t>
        </is>
      </c>
      <c r="N233" s="2" t="n"/>
      <c r="O233" s="3" t="inlineStr">
        <is>
          <t>Non stimabile – dati insufficienti</t>
        </is>
      </c>
      <c r="P233" s="3" t="inlineStr">
        <is>
          <t>Non indicato</t>
        </is>
      </c>
      <c r="Q233" s="5" t="n"/>
      <c r="R233" s="6">
        <f>IF(Q233="","",Q233-TODAY())</f>
        <v/>
      </c>
      <c r="S233" s="5" t="n"/>
      <c r="T233" s="2" t="n"/>
      <c r="U233" s="2" t="n"/>
      <c r="V233" s="3" t="n"/>
      <c r="W233" s="3" t="n"/>
      <c r="X233" s="2" t="inlineStr">
        <is>
          <t>Mondiale</t>
        </is>
      </c>
      <c r="Y233" s="2" t="inlineStr">
        <is>
          <t>Inglese</t>
        </is>
      </c>
      <c r="Z233" s="7" t="inlineStr">
        <is>
          <t>https://www.alz.org/getmedia/f218a1f6-ec16-40aa-acfe-5441f7879b98/grants-country-state-2019.pdf</t>
        </is>
      </c>
      <c r="AA233" s="3" t="n"/>
      <c r="AB233" s="2" t="inlineStr">
        <is>
          <t>Scadenza da verificare</t>
        </is>
      </c>
      <c r="AC233" s="5" t="n">
        <v>46312</v>
      </c>
      <c r="AD233" s="5" t="n">
        <v>46312</v>
      </c>
      <c r="AE233" s="2" t="n"/>
    </row>
    <row r="234">
      <c r="A234" s="2" t="inlineStr">
        <is>
          <t>WEB-7253e9c0a37d</t>
        </is>
      </c>
      <c r="B234" s="2" t="inlineStr">
        <is>
          <t>Alzheimer's Association</t>
        </is>
      </c>
      <c r="C234" s="2" t="inlineStr">
        <is>
          <t>grants by research categories 2019</t>
        </is>
      </c>
      <c r="D234" s="2" t="inlineStr">
        <is>
          <t>Alzheimer's Association</t>
        </is>
      </c>
      <c r="E234" s="3" t="inlineStr">
        <is>
          <t>grants by research categories 2019</t>
        </is>
      </c>
      <c r="F234" s="3" t="inlineStr">
        <is>
          <t>grants by research categories 2019</t>
        </is>
      </c>
      <c r="G234" s="2" t="inlineStr">
        <is>
          <t>Ictus, Parkinson, Invecchiamento</t>
        </is>
      </c>
      <c r="H234" s="2" t="inlineStr">
        <is>
          <t>aphasia, parkinson, dementi, alzheimer, cognitive impairment, older adults, aging, neurodegenerat</t>
        </is>
      </c>
      <c r="I234" s="2" t="inlineStr">
        <is>
          <t>Non analizzato</t>
        </is>
      </c>
      <c r="J234" s="3" t="n"/>
      <c r="K234" s="4" t="n">
        <v>146207</v>
      </c>
      <c r="L234" s="4" t="n"/>
      <c r="M234" s="2" t="inlineStr">
        <is>
          <t>USD</t>
        </is>
      </c>
      <c r="N234" s="2" t="n"/>
      <c r="O234" s="3" t="inlineStr">
        <is>
          <t>Non stimabile – dati insufficienti</t>
        </is>
      </c>
      <c r="P234" s="3" t="inlineStr">
        <is>
          <t>Non indicato</t>
        </is>
      </c>
      <c r="Q234" s="5" t="n"/>
      <c r="R234" s="6">
        <f>IF(Q234="","",Q234-TODAY())</f>
        <v/>
      </c>
      <c r="S234" s="5" t="n"/>
      <c r="T234" s="2" t="n"/>
      <c r="U234" s="2" t="n"/>
      <c r="V234" s="3" t="n"/>
      <c r="W234" s="3" t="n"/>
      <c r="X234" s="2" t="inlineStr">
        <is>
          <t>Mondiale</t>
        </is>
      </c>
      <c r="Y234" s="2" t="inlineStr">
        <is>
          <t>Inglese</t>
        </is>
      </c>
      <c r="Z234" s="7" t="inlineStr">
        <is>
          <t>https://www.alz.org/getmedia/9f1033c4-674d-4476-b49f-0047289c3d81/grants-by-research-categories-2019.pdf</t>
        </is>
      </c>
      <c r="AA234" s="3" t="n"/>
      <c r="AB234" s="2" t="inlineStr">
        <is>
          <t>Scadenza da verificare</t>
        </is>
      </c>
      <c r="AC234" s="5" t="n">
        <v>46312</v>
      </c>
      <c r="AD234" s="5" t="n">
        <v>46312</v>
      </c>
      <c r="AE234" s="2" t="n"/>
    </row>
    <row r="235">
      <c r="A235" s="2" t="inlineStr">
        <is>
          <t>WEB-472ad6fe979c</t>
        </is>
      </c>
      <c r="B235" s="2" t="inlineStr">
        <is>
          <t>Alzheimer's Association</t>
        </is>
      </c>
      <c r="C235" s="2" t="inlineStr">
        <is>
          <t>research grants portfolio profile 2018</t>
        </is>
      </c>
      <c r="D235" s="2" t="inlineStr">
        <is>
          <t>Alzheimer's Association</t>
        </is>
      </c>
      <c r="E235" s="3" t="inlineStr">
        <is>
          <t>research grants portfolio profile 2018</t>
        </is>
      </c>
      <c r="F235" s="3" t="inlineStr">
        <is>
          <t>research grants portfolio profile 2018</t>
        </is>
      </c>
      <c r="G235" s="2" t="inlineStr">
        <is>
          <t>Invecchiamento</t>
        </is>
      </c>
      <c r="H235" s="2" t="inlineStr">
        <is>
          <t>dementi, alzheimer, cognitive impairment, older adults, aging, neurodegenerat</t>
        </is>
      </c>
      <c r="I235" s="2" t="inlineStr">
        <is>
          <t>Non analizzato</t>
        </is>
      </c>
      <c r="J235" s="3" t="n"/>
      <c r="K235" s="4" t="n"/>
      <c r="L235" s="4" t="n"/>
      <c r="M235" s="2" t="n"/>
      <c r="N235" s="2" t="n"/>
      <c r="O235" s="3" t="inlineStr">
        <is>
          <t>Non stimabile – dati insufficienti</t>
        </is>
      </c>
      <c r="P235" s="3" t="inlineStr">
        <is>
          <t>Non indicato</t>
        </is>
      </c>
      <c r="Q235" s="5" t="n"/>
      <c r="R235" s="6">
        <f>IF(Q235="","",Q235-TODAY())</f>
        <v/>
      </c>
      <c r="S235" s="5" t="n"/>
      <c r="T235" s="2" t="n"/>
      <c r="U235" s="2" t="n"/>
      <c r="V235" s="3" t="n"/>
      <c r="W235" s="3" t="n"/>
      <c r="X235" s="2" t="inlineStr">
        <is>
          <t>Mondiale</t>
        </is>
      </c>
      <c r="Y235" s="2" t="inlineStr">
        <is>
          <t>Inglese</t>
        </is>
      </c>
      <c r="Z235" s="7" t="inlineStr">
        <is>
          <t>https://www.alz.org/getmedia/3a385bdf-9254-4bc3-93cb-804408ac565c/research-grants-portfolio-profile-2018.pdf</t>
        </is>
      </c>
      <c r="AA235" s="3" t="n"/>
      <c r="AB235" s="2" t="inlineStr">
        <is>
          <t>Scadenza da verificare</t>
        </is>
      </c>
      <c r="AC235" s="5" t="n">
        <v>46312</v>
      </c>
      <c r="AD235" s="5" t="n">
        <v>46312</v>
      </c>
      <c r="AE235" s="2" t="n"/>
    </row>
    <row r="236">
      <c r="A236" s="2" t="inlineStr">
        <is>
          <t>WEB-804e396af5ad</t>
        </is>
      </c>
      <c r="B236" s="2" t="inlineStr">
        <is>
          <t>Alzheimer's Association</t>
        </is>
      </c>
      <c r="C236" s="2" t="inlineStr">
        <is>
          <t>grants country state 2018 final</t>
        </is>
      </c>
      <c r="D236" s="2" t="inlineStr">
        <is>
          <t>Alzheimer's Association</t>
        </is>
      </c>
      <c r="E236" s="3" t="inlineStr">
        <is>
          <t>grants country state 2018 final</t>
        </is>
      </c>
      <c r="F236" s="3" t="inlineStr">
        <is>
          <t>grants country state 2018 final</t>
        </is>
      </c>
      <c r="G236" s="2" t="inlineStr">
        <is>
          <t>Invecchiamento, Tecnologie riabilitazione</t>
        </is>
      </c>
      <c r="H236" s="2" t="inlineStr">
        <is>
          <t>dementi, alzheimer, cognitive decline, aging, neurodegenerat, speech and language therap, assistive technolog</t>
        </is>
      </c>
      <c r="I236" s="2" t="inlineStr">
        <is>
          <t>Non analizzato</t>
        </is>
      </c>
      <c r="J236" s="3" t="n"/>
      <c r="K236" s="4" t="n">
        <v>149800</v>
      </c>
      <c r="L236" s="4" t="n"/>
      <c r="M236" s="2" t="inlineStr">
        <is>
          <t>USD</t>
        </is>
      </c>
      <c r="N236" s="2" t="n"/>
      <c r="O236" s="3" t="inlineStr">
        <is>
          <t>Non stimabile – dati insufficienti</t>
        </is>
      </c>
      <c r="P236" s="3" t="inlineStr">
        <is>
          <t>Non indicato</t>
        </is>
      </c>
      <c r="Q236" s="5" t="n"/>
      <c r="R236" s="6">
        <f>IF(Q236="","",Q236-TODAY())</f>
        <v/>
      </c>
      <c r="S236" s="5" t="n"/>
      <c r="T236" s="2" t="n"/>
      <c r="U236" s="2" t="n"/>
      <c r="V236" s="3" t="n"/>
      <c r="W236" s="3" t="n"/>
      <c r="X236" s="2" t="inlineStr">
        <is>
          <t>Mondiale</t>
        </is>
      </c>
      <c r="Y236" s="2" t="inlineStr">
        <is>
          <t>Inglese</t>
        </is>
      </c>
      <c r="Z236" s="7" t="inlineStr">
        <is>
          <t>https://www.alz.org/getmedia/ff417116-ea77-4c79-80f9-0b06fc253756/grants-country-state-2018-final.pdf</t>
        </is>
      </c>
      <c r="AA236" s="3" t="n"/>
      <c r="AB236" s="2" t="inlineStr">
        <is>
          <t>Scadenza da verificare</t>
        </is>
      </c>
      <c r="AC236" s="5" t="n">
        <v>46312</v>
      </c>
      <c r="AD236" s="5" t="n">
        <v>46312</v>
      </c>
      <c r="AE236" s="2" t="n"/>
    </row>
    <row r="237">
      <c r="A237" s="2" t="inlineStr">
        <is>
          <t>WEB-61c631118f86</t>
        </is>
      </c>
      <c r="B237" s="2" t="inlineStr">
        <is>
          <t>Alzheimer's Association</t>
        </is>
      </c>
      <c r="C237" s="2" t="inlineStr">
        <is>
          <t>grants by research categories 2018%EF%BB%BF</t>
        </is>
      </c>
      <c r="D237" s="2" t="inlineStr">
        <is>
          <t>Alzheimer's Association</t>
        </is>
      </c>
      <c r="E237" s="3" t="inlineStr">
        <is>
          <t>grants by research categories 2018%EF%BB%BF</t>
        </is>
      </c>
      <c r="F237" s="3" t="inlineStr">
        <is>
          <t>grants by research categories 2018%EF%BB%BF</t>
        </is>
      </c>
      <c r="G237" s="2" t="inlineStr">
        <is>
          <t>Ictus, Invecchiamento</t>
        </is>
      </c>
      <c r="H237" s="2" t="inlineStr">
        <is>
          <t>traumatic brain injur, dementi, alzheimer, cognitive decline, older adults, aging, neurodegenerat</t>
        </is>
      </c>
      <c r="I237" s="2" t="inlineStr">
        <is>
          <t>Non analizzato</t>
        </is>
      </c>
      <c r="J237" s="3" t="n"/>
      <c r="K237" s="4" t="n">
        <v>140000</v>
      </c>
      <c r="L237" s="4" t="n"/>
      <c r="M237" s="2" t="inlineStr">
        <is>
          <t>USD</t>
        </is>
      </c>
      <c r="N237" s="2" t="n"/>
      <c r="O237" s="3" t="inlineStr">
        <is>
          <t>Non stimabile – dati insufficienti</t>
        </is>
      </c>
      <c r="P237" s="3" t="inlineStr">
        <is>
          <t>Non indicato</t>
        </is>
      </c>
      <c r="Q237" s="5" t="n"/>
      <c r="R237" s="6">
        <f>IF(Q237="","",Q237-TODAY())</f>
        <v/>
      </c>
      <c r="S237" s="5" t="n"/>
      <c r="T237" s="2" t="n"/>
      <c r="U237" s="2" t="n"/>
      <c r="V237" s="3" t="n"/>
      <c r="W237" s="3" t="n"/>
      <c r="X237" s="2" t="inlineStr">
        <is>
          <t>Mondiale</t>
        </is>
      </c>
      <c r="Y237" s="2" t="inlineStr">
        <is>
          <t>Inglese</t>
        </is>
      </c>
      <c r="Z237" s="7" t="inlineStr">
        <is>
          <t>https://www.alz.org/getmedia/8da8fe3d-aa7f-4c5e-b36c-b959b959712a/grants-by-research-categories-2018%EF%BB%BF.pdf</t>
        </is>
      </c>
      <c r="AA237" s="3" t="n"/>
      <c r="AB237" s="2" t="inlineStr">
        <is>
          <t>Scadenza da verificare</t>
        </is>
      </c>
      <c r="AC237" s="5" t="n">
        <v>46312</v>
      </c>
      <c r="AD237" s="5" t="n">
        <v>46312</v>
      </c>
      <c r="AE237" s="2" t="n"/>
    </row>
    <row r="238">
      <c r="A238" s="2" t="inlineStr">
        <is>
          <t>WEB-7d7e29339d73</t>
        </is>
      </c>
      <c r="B238" s="2" t="inlineStr">
        <is>
          <t>Alzheimer's Association</t>
        </is>
      </c>
      <c r="C238" s="2" t="inlineStr">
        <is>
          <t>2017 portfolio profile</t>
        </is>
      </c>
      <c r="D238" s="2" t="inlineStr">
        <is>
          <t>Alzheimer's Association</t>
        </is>
      </c>
      <c r="E238" s="3" t="inlineStr">
        <is>
          <t>2017 portfolio profile</t>
        </is>
      </c>
      <c r="F238" s="3" t="inlineStr">
        <is>
          <t>2017 portfolio profile</t>
        </is>
      </c>
      <c r="G238" s="2" t="inlineStr">
        <is>
          <t>Invecchiamento</t>
        </is>
      </c>
      <c r="H238" s="2" t="inlineStr">
        <is>
          <t>dementi, alzheimer, cognitive impairment, aging, neurodegenerat</t>
        </is>
      </c>
      <c r="I238" s="2" t="inlineStr">
        <is>
          <t>Non analizzato</t>
        </is>
      </c>
      <c r="J238" s="3" t="n"/>
      <c r="K238" s="4" t="n"/>
      <c r="L238" s="4" t="n"/>
      <c r="M238" s="2" t="n"/>
      <c r="N238" s="2" t="n"/>
      <c r="O238" s="3" t="inlineStr">
        <is>
          <t>Non stimabile – dati insufficienti</t>
        </is>
      </c>
      <c r="P238" s="3" t="inlineStr">
        <is>
          <t>Non indicato</t>
        </is>
      </c>
      <c r="Q238" s="5" t="n"/>
      <c r="R238" s="6">
        <f>IF(Q238="","",Q238-TODAY())</f>
        <v/>
      </c>
      <c r="S238" s="5" t="n"/>
      <c r="T238" s="2" t="n"/>
      <c r="U238" s="2" t="n"/>
      <c r="V238" s="3" t="n"/>
      <c r="W238" s="3" t="n"/>
      <c r="X238" s="2" t="inlineStr">
        <is>
          <t>Mondiale</t>
        </is>
      </c>
      <c r="Y238" s="2" t="inlineStr">
        <is>
          <t>Inglese</t>
        </is>
      </c>
      <c r="Z238" s="7" t="inlineStr">
        <is>
          <t>https://www.alz.org/getmedia/c27e7222-4554-4e9c-ab58-87ffa9637341/2017-portfolio-profile.pdf</t>
        </is>
      </c>
      <c r="AA238" s="3" t="n"/>
      <c r="AB238" s="2" t="inlineStr">
        <is>
          <t>Scadenza da verificare</t>
        </is>
      </c>
      <c r="AC238" s="5" t="n">
        <v>46312</v>
      </c>
      <c r="AD238" s="5" t="n">
        <v>46312</v>
      </c>
      <c r="AE238" s="2" t="n"/>
    </row>
    <row r="239">
      <c r="A239" s="2" t="inlineStr">
        <is>
          <t>WEB-8e33487a47de</t>
        </is>
      </c>
      <c r="B239" s="2" t="inlineStr">
        <is>
          <t>Alzheimer's Association</t>
        </is>
      </c>
      <c r="C239" s="2" t="inlineStr">
        <is>
          <t>2017 Research Category</t>
        </is>
      </c>
      <c r="D239" s="2" t="inlineStr">
        <is>
          <t>Alzheimer's Association</t>
        </is>
      </c>
      <c r="E239" s="3" t="inlineStr">
        <is>
          <t>2017 Research Category</t>
        </is>
      </c>
      <c r="F239" s="3" t="inlineStr">
        <is>
          <t>2017 Research Category</t>
        </is>
      </c>
      <c r="G239" s="2" t="inlineStr">
        <is>
          <t>Ictus, Invecchiamento</t>
        </is>
      </c>
      <c r="H239" s="2" t="inlineStr">
        <is>
          <t>stroke, dementi, alzheimer, cognitive decline, healthy aging, older people, ageing, neurodegenerat</t>
        </is>
      </c>
      <c r="I239" s="2" t="inlineStr">
        <is>
          <t>Non analizzato</t>
        </is>
      </c>
      <c r="J239" s="3" t="n"/>
      <c r="K239" s="4" t="n">
        <v>150000</v>
      </c>
      <c r="L239" s="4" t="n"/>
      <c r="M239" s="2" t="inlineStr">
        <is>
          <t>USD</t>
        </is>
      </c>
      <c r="N239" s="2" t="n"/>
      <c r="O239" s="3" t="inlineStr">
        <is>
          <t>Non stimabile – dati insufficienti</t>
        </is>
      </c>
      <c r="P239" s="3" t="inlineStr">
        <is>
          <t>Non indicato</t>
        </is>
      </c>
      <c r="Q239" s="5" t="n"/>
      <c r="R239" s="6">
        <f>IF(Q239="","",Q239-TODAY())</f>
        <v/>
      </c>
      <c r="S239" s="5" t="n"/>
      <c r="T239" s="2" t="n"/>
      <c r="U239" s="2" t="n"/>
      <c r="V239" s="3" t="n"/>
      <c r="W239" s="3" t="n"/>
      <c r="X239" s="2" t="inlineStr">
        <is>
          <t>Mondiale</t>
        </is>
      </c>
      <c r="Y239" s="2" t="inlineStr">
        <is>
          <t>Inglese</t>
        </is>
      </c>
      <c r="Z239" s="7" t="inlineStr">
        <is>
          <t>https://www.alz.org/getmedia/1c1f81aa-c1e3-40c0-8bab-f5b53b99f639/2017-Research-Category.pdf</t>
        </is>
      </c>
      <c r="AA239" s="3" t="n"/>
      <c r="AB239" s="2" t="inlineStr">
        <is>
          <t>Scadenza da verificare</t>
        </is>
      </c>
      <c r="AC239" s="5" t="n">
        <v>46312</v>
      </c>
      <c r="AD239" s="5" t="n">
        <v>46312</v>
      </c>
      <c r="AE239" s="2" t="n"/>
    </row>
    <row r="240">
      <c r="A240" s="2" t="inlineStr">
        <is>
          <t>WEB-bd35ed5f3518</t>
        </is>
      </c>
      <c r="B240" s="2" t="inlineStr">
        <is>
          <t>Alzheimer's Association</t>
        </is>
      </c>
      <c r="C240" s="2" t="inlineStr">
        <is>
          <t>2016 portfolio profile</t>
        </is>
      </c>
      <c r="D240" s="2" t="inlineStr">
        <is>
          <t>Alzheimer's Association</t>
        </is>
      </c>
      <c r="E240" s="3" t="inlineStr">
        <is>
          <t>2016 portfolio profile</t>
        </is>
      </c>
      <c r="F240" s="3" t="inlineStr">
        <is>
          <t>2016 portfolio profile</t>
        </is>
      </c>
      <c r="G240" s="2" t="inlineStr">
        <is>
          <t>Parkinson, Invecchiamento</t>
        </is>
      </c>
      <c r="H240" s="2" t="inlineStr">
        <is>
          <t>parkinson, dementi, alzheimer, cognitive impairment, aging, neurodegenerat</t>
        </is>
      </c>
      <c r="I240" s="2" t="inlineStr">
        <is>
          <t>Non analizzato</t>
        </is>
      </c>
      <c r="J240" s="3" t="n"/>
      <c r="K240" s="4" t="n"/>
      <c r="L240" s="4" t="n"/>
      <c r="M240" s="2" t="n"/>
      <c r="N240" s="2" t="n"/>
      <c r="O240" s="3" t="inlineStr">
        <is>
          <t>Non stimabile – dati insufficienti</t>
        </is>
      </c>
      <c r="P240" s="3" t="inlineStr">
        <is>
          <t>Non indicato</t>
        </is>
      </c>
      <c r="Q240" s="5" t="n"/>
      <c r="R240" s="6">
        <f>IF(Q240="","",Q240-TODAY())</f>
        <v/>
      </c>
      <c r="S240" s="5" t="n"/>
      <c r="T240" s="2" t="n"/>
      <c r="U240" s="2" t="n"/>
      <c r="V240" s="3" t="n"/>
      <c r="W240" s="3" t="n"/>
      <c r="X240" s="2" t="inlineStr">
        <is>
          <t>Mondiale</t>
        </is>
      </c>
      <c r="Y240" s="2" t="inlineStr">
        <is>
          <t>Inglese</t>
        </is>
      </c>
      <c r="Z240" s="7" t="inlineStr">
        <is>
          <t>https://www.alz.org/getmedia/7c81571e-a389-4491-bc03-2692921bae76/2016-portfolio-profile.pdf</t>
        </is>
      </c>
      <c r="AA240" s="3" t="n"/>
      <c r="AB240" s="2" t="inlineStr">
        <is>
          <t>Scadenza da verificare</t>
        </is>
      </c>
      <c r="AC240" s="5" t="n">
        <v>46312</v>
      </c>
      <c r="AD240" s="5" t="n">
        <v>46312</v>
      </c>
      <c r="AE240" s="2" t="n"/>
    </row>
    <row r="241">
      <c r="A241" s="2" t="inlineStr">
        <is>
          <t>WEB-4351c469ae1a</t>
        </is>
      </c>
      <c r="B241" s="2" t="inlineStr">
        <is>
          <t>Alzheimer's Association</t>
        </is>
      </c>
      <c r="C241" s="2" t="inlineStr">
        <is>
          <t>2016 Research Category</t>
        </is>
      </c>
      <c r="D241" s="2" t="inlineStr">
        <is>
          <t>Alzheimer's Association</t>
        </is>
      </c>
      <c r="E241" s="3" t="inlineStr">
        <is>
          <t>2016 Research Category</t>
        </is>
      </c>
      <c r="F241" s="3" t="inlineStr">
        <is>
          <t>2016 Research Category</t>
        </is>
      </c>
      <c r="G241" s="2" t="inlineStr">
        <is>
          <t>Ictus, Parkinson, Invecchiamento</t>
        </is>
      </c>
      <c r="H241" s="2" t="inlineStr">
        <is>
          <t>stroke, parkinson, dementi, alzheimer, cognitive decline, aging, neurodegenerat, disabilit</t>
        </is>
      </c>
      <c r="I241" s="2" t="inlineStr">
        <is>
          <t>Non analizzato</t>
        </is>
      </c>
      <c r="J241" s="3" t="n"/>
      <c r="K241" s="4" t="n">
        <v>174293</v>
      </c>
      <c r="L241" s="4" t="n"/>
      <c r="M241" s="2" t="inlineStr">
        <is>
          <t>USD</t>
        </is>
      </c>
      <c r="N241" s="2" t="n"/>
      <c r="O241" s="3" t="inlineStr">
        <is>
          <t>Non stimabile – dati insufficienti</t>
        </is>
      </c>
      <c r="P241" s="3" t="inlineStr">
        <is>
          <t>Non indicato</t>
        </is>
      </c>
      <c r="Q241" s="5" t="n"/>
      <c r="R241" s="6">
        <f>IF(Q241="","",Q241-TODAY())</f>
        <v/>
      </c>
      <c r="S241" s="5" t="n"/>
      <c r="T241" s="2" t="n"/>
      <c r="U241" s="2" t="n"/>
      <c r="V241" s="3" t="n"/>
      <c r="W241" s="3" t="n"/>
      <c r="X241" s="2" t="inlineStr">
        <is>
          <t>Mondiale</t>
        </is>
      </c>
      <c r="Y241" s="2" t="inlineStr">
        <is>
          <t>Inglese</t>
        </is>
      </c>
      <c r="Z241" s="7" t="inlineStr">
        <is>
          <t>https://www.alz.org/getmedia/b8ab416a-9ec9-4905-85f8-d1a4d751a44c/2016-Research-Category.pdf</t>
        </is>
      </c>
      <c r="AA241" s="3" t="n"/>
      <c r="AB241" s="2" t="inlineStr">
        <is>
          <t>Scadenza da verificare</t>
        </is>
      </c>
      <c r="AC241" s="5" t="n">
        <v>46312</v>
      </c>
      <c r="AD241" s="5" t="n">
        <v>46312</v>
      </c>
      <c r="AE241" s="2" t="n"/>
    </row>
    <row r="242">
      <c r="A242" s="2" t="inlineStr">
        <is>
          <t>WEB-6a8193488efd</t>
        </is>
      </c>
      <c r="B242" s="2" t="inlineStr">
        <is>
          <t>Alzheimer's Association</t>
        </is>
      </c>
      <c r="C242" s="2" t="inlineStr">
        <is>
          <t>2015 portfolio profile</t>
        </is>
      </c>
      <c r="D242" s="2" t="inlineStr">
        <is>
          <t>Alzheimer's Association</t>
        </is>
      </c>
      <c r="E242" s="3" t="inlineStr">
        <is>
          <t>2015 portfolio profile</t>
        </is>
      </c>
      <c r="F242" s="3" t="inlineStr">
        <is>
          <t>2015 portfolio profile</t>
        </is>
      </c>
      <c r="G242" s="2" t="inlineStr">
        <is>
          <t>Invecchiamento</t>
        </is>
      </c>
      <c r="H242" s="2" t="inlineStr">
        <is>
          <t>dementi, alzheimer, neurodegenerat</t>
        </is>
      </c>
      <c r="I242" s="2" t="inlineStr">
        <is>
          <t>Non analizzato</t>
        </is>
      </c>
      <c r="J242" s="3" t="n"/>
      <c r="K242" s="4" t="n"/>
      <c r="L242" s="4" t="n"/>
      <c r="M242" s="2" t="n"/>
      <c r="N242" s="2" t="n"/>
      <c r="O242" s="3" t="inlineStr">
        <is>
          <t>Non stimabile – dati insufficienti</t>
        </is>
      </c>
      <c r="P242" s="3" t="inlineStr">
        <is>
          <t>Non indicato</t>
        </is>
      </c>
      <c r="Q242" s="5" t="n"/>
      <c r="R242" s="6">
        <f>IF(Q242="","",Q242-TODAY())</f>
        <v/>
      </c>
      <c r="S242" s="5" t="n"/>
      <c r="T242" s="2" t="n"/>
      <c r="U242" s="2" t="n"/>
      <c r="V242" s="3" t="n"/>
      <c r="W242" s="3" t="n"/>
      <c r="X242" s="2" t="inlineStr">
        <is>
          <t>Mondiale</t>
        </is>
      </c>
      <c r="Y242" s="2" t="inlineStr">
        <is>
          <t>Inglese</t>
        </is>
      </c>
      <c r="Z242" s="7" t="inlineStr">
        <is>
          <t>https://www.alz.org/getmedia/ec1c529a-dd2f-4c53-b296-55bc3bc05410/2015-portfolio-profile.pdf</t>
        </is>
      </c>
      <c r="AA242" s="3" t="n"/>
      <c r="AB242" s="2" t="inlineStr">
        <is>
          <t>Scadenza da verificare</t>
        </is>
      </c>
      <c r="AC242" s="5" t="n">
        <v>46312</v>
      </c>
      <c r="AD242" s="5" t="n">
        <v>46312</v>
      </c>
      <c r="AE242" s="2" t="n"/>
    </row>
    <row r="243">
      <c r="A243" s="2" t="inlineStr">
        <is>
          <t>WEB-2d462e5167b2</t>
        </is>
      </c>
      <c r="B243" s="2" t="inlineStr">
        <is>
          <t>Alzheimer's Association</t>
        </is>
      </c>
      <c r="C243" s="2" t="inlineStr">
        <is>
          <t>2015 Research Category</t>
        </is>
      </c>
      <c r="D243" s="2" t="inlineStr">
        <is>
          <t>Alzheimer's Association</t>
        </is>
      </c>
      <c r="E243" s="3" t="inlineStr">
        <is>
          <t>2015 Research Category</t>
        </is>
      </c>
      <c r="F243" s="3" t="inlineStr">
        <is>
          <t>2015 Research Category</t>
        </is>
      </c>
      <c r="G243" s="2" t="inlineStr">
        <is>
          <t>Invecchiamento, Tecnologie riabilitazione</t>
        </is>
      </c>
      <c r="H243" s="2" t="inlineStr">
        <is>
          <t>dementi, alzheimer, cognitive impairment, older people, geriatr, neurodegenerat, rehabilitat, gait</t>
        </is>
      </c>
      <c r="I243" s="2" t="inlineStr">
        <is>
          <t>Non analizzato</t>
        </is>
      </c>
      <c r="J243" s="3" t="n"/>
      <c r="K243" s="4" t="n">
        <v>449946</v>
      </c>
      <c r="L243" s="4" t="n"/>
      <c r="M243" s="2" t="inlineStr">
        <is>
          <t>USD</t>
        </is>
      </c>
      <c r="N243" s="2" t="n"/>
      <c r="O243" s="3" t="inlineStr">
        <is>
          <t>Non stimabile – dati insufficienti</t>
        </is>
      </c>
      <c r="P243" s="3" t="inlineStr">
        <is>
          <t>Non indicato</t>
        </is>
      </c>
      <c r="Q243" s="5" t="n"/>
      <c r="R243" s="6">
        <f>IF(Q243="","",Q243-TODAY())</f>
        <v/>
      </c>
      <c r="S243" s="5" t="n"/>
      <c r="T243" s="2" t="n"/>
      <c r="U243" s="2" t="n"/>
      <c r="V243" s="3" t="n"/>
      <c r="W243" s="3" t="n"/>
      <c r="X243" s="2" t="inlineStr">
        <is>
          <t>Mondiale</t>
        </is>
      </c>
      <c r="Y243" s="2" t="inlineStr">
        <is>
          <t>Inglese</t>
        </is>
      </c>
      <c r="Z243" s="7" t="inlineStr">
        <is>
          <t>https://www.alz.org/getmedia/722a06b3-e955-460e-ad8a-e5ba846d7e51/2015-Research-Category.pdf</t>
        </is>
      </c>
      <c r="AA243" s="3" t="n"/>
      <c r="AB243" s="2" t="inlineStr">
        <is>
          <t>Scadenza da verificare</t>
        </is>
      </c>
      <c r="AC243" s="5" t="n">
        <v>46312</v>
      </c>
      <c r="AD243" s="5" t="n">
        <v>46312</v>
      </c>
      <c r="AE243" s="2" t="n"/>
    </row>
    <row r="244">
      <c r="A244" s="2" t="inlineStr">
        <is>
          <t>WEB-3c7778760ee5</t>
        </is>
      </c>
      <c r="B244" s="2" t="inlineStr">
        <is>
          <t>Alzheimer's Association</t>
        </is>
      </c>
      <c r="C244" s="2" t="inlineStr">
        <is>
          <t>2014 portfolio profile</t>
        </is>
      </c>
      <c r="D244" s="2" t="inlineStr">
        <is>
          <t>Alzheimer's Association</t>
        </is>
      </c>
      <c r="E244" s="3" t="inlineStr">
        <is>
          <t>2014 portfolio profile</t>
        </is>
      </c>
      <c r="F244" s="3" t="inlineStr">
        <is>
          <t>2014 portfolio profile</t>
        </is>
      </c>
      <c r="G244" s="2" t="inlineStr">
        <is>
          <t>Invecchiamento</t>
        </is>
      </c>
      <c r="H244" s="2" t="inlineStr">
        <is>
          <t>dementi, alzheimer, neurodegenerat</t>
        </is>
      </c>
      <c r="I244" s="2" t="inlineStr">
        <is>
          <t>Non analizzato</t>
        </is>
      </c>
      <c r="J244" s="3" t="n"/>
      <c r="K244" s="4" t="n"/>
      <c r="L244" s="4" t="n"/>
      <c r="M244" s="2" t="n"/>
      <c r="N244" s="2" t="n"/>
      <c r="O244" s="3" t="inlineStr">
        <is>
          <t>Non stimabile – dati insufficienti</t>
        </is>
      </c>
      <c r="P244" s="3" t="inlineStr">
        <is>
          <t>Non indicato</t>
        </is>
      </c>
      <c r="Q244" s="5" t="n"/>
      <c r="R244" s="6">
        <f>IF(Q244="","",Q244-TODAY())</f>
        <v/>
      </c>
      <c r="S244" s="5" t="n"/>
      <c r="T244" s="2" t="n"/>
      <c r="U244" s="2" t="n"/>
      <c r="V244" s="3" t="n"/>
      <c r="W244" s="3" t="n"/>
      <c r="X244" s="2" t="inlineStr">
        <is>
          <t>Mondiale</t>
        </is>
      </c>
      <c r="Y244" s="2" t="inlineStr">
        <is>
          <t>Inglese</t>
        </is>
      </c>
      <c r="Z244" s="7" t="inlineStr">
        <is>
          <t>https://www.alz.org/getmedia/00f03001-243a-4cff-b52b-e9433bc2daed/2014-portfolio-profile.pdf</t>
        </is>
      </c>
      <c r="AA244" s="3" t="n"/>
      <c r="AB244" s="2" t="inlineStr">
        <is>
          <t>Scadenza da verificare</t>
        </is>
      </c>
      <c r="AC244" s="5" t="n">
        <v>46312</v>
      </c>
      <c r="AD244" s="5" t="n">
        <v>46312</v>
      </c>
      <c r="AE244" s="2" t="n"/>
    </row>
    <row r="245">
      <c r="A245" s="2" t="inlineStr">
        <is>
          <t>WEB-b210a942c4d8</t>
        </is>
      </c>
      <c r="B245" s="2" t="inlineStr">
        <is>
          <t>Foundation for Physical Therapy Research</t>
        </is>
      </c>
      <c r="C245" s="2" t="inlineStr">
        <is>
          <t>Research Grants</t>
        </is>
      </c>
      <c r="D245" s="2" t="inlineStr">
        <is>
          <t>Foundation for Physical Therapy Research</t>
        </is>
      </c>
      <c r="E245" s="3" t="inlineStr">
        <is>
          <t>Research Grants</t>
        </is>
      </c>
      <c r="F245" s="3" t="inlineStr">
        <is>
          <t>Research Grants</t>
        </is>
      </c>
      <c r="G245" s="2" t="inlineStr">
        <is>
          <t>Invecchiamento</t>
        </is>
      </c>
      <c r="H245" s="2" t="inlineStr">
        <is>
          <t>geriatr, physical therap</t>
        </is>
      </c>
      <c r="I245" s="2" t="inlineStr">
        <is>
          <t>Non analizzato</t>
        </is>
      </c>
      <c r="J245" s="3" t="n"/>
      <c r="K245" s="4" t="n">
        <v>40000</v>
      </c>
      <c r="L245" s="4" t="n"/>
      <c r="M245" s="2" t="inlineStr">
        <is>
          <t>USD</t>
        </is>
      </c>
      <c r="N245" s="2" t="n"/>
      <c r="O245" s="3" t="inlineStr">
        <is>
          <t>Non stimabile – dati insufficienti</t>
        </is>
      </c>
      <c r="P245" s="3" t="inlineStr">
        <is>
          <t>Non indicato</t>
        </is>
      </c>
      <c r="Q245" s="5" t="n"/>
      <c r="R245" s="6">
        <f>IF(Q245="","",Q245-TODAY())</f>
        <v/>
      </c>
      <c r="S245" s="5" t="n"/>
      <c r="T245" s="2" t="n"/>
      <c r="U245" s="2" t="n"/>
      <c r="V245" s="3" t="n"/>
      <c r="W245" s="3" t="n"/>
      <c r="X245" s="2" t="inlineStr">
        <is>
          <t>USA</t>
        </is>
      </c>
      <c r="Y245" s="2" t="inlineStr">
        <is>
          <t>Inglese</t>
        </is>
      </c>
      <c r="Z245" s="7" t="inlineStr">
        <is>
          <t>https://foundation4pt.org/foundation-funding-opportunities/grants/</t>
        </is>
      </c>
      <c r="AA245" s="3" t="n"/>
      <c r="AB245" s="2" t="inlineStr">
        <is>
          <t>Scadenza da verificare</t>
        </is>
      </c>
      <c r="AC245" s="5" t="n">
        <v>46312</v>
      </c>
      <c r="AD245" s="5" t="n">
        <v>46312</v>
      </c>
      <c r="AE245" s="2" t="n"/>
    </row>
    <row r="246">
      <c r="A246" s="2" t="inlineStr">
        <is>
          <t>WEB-a5fef5cb647c</t>
        </is>
      </c>
      <c r="B246" s="2" t="inlineStr">
        <is>
          <t>Foundation for Physical Therapy Research</t>
        </is>
      </c>
      <c r="C246" s="2" t="inlineStr">
        <is>
          <t>Application Review Process</t>
        </is>
      </c>
      <c r="D246" s="2" t="inlineStr">
        <is>
          <t>Foundation for Physical Therapy Research</t>
        </is>
      </c>
      <c r="E246" s="3" t="inlineStr">
        <is>
          <t>Application Review Process</t>
        </is>
      </c>
      <c r="F246" s="3" t="inlineStr">
        <is>
          <t>Application Review Process</t>
        </is>
      </c>
      <c r="G246" s="2" t="inlineStr">
        <is>
          <t>Riabilitazione</t>
        </is>
      </c>
      <c r="H246" s="2" t="inlineStr">
        <is>
          <t>rehabilitat, physical therap, occupational therap</t>
        </is>
      </c>
      <c r="I246" s="2" t="inlineStr">
        <is>
          <t>Non analizzato</t>
        </is>
      </c>
      <c r="J246" s="3" t="n"/>
      <c r="K246" s="4" t="n">
        <v>40000</v>
      </c>
      <c r="L246" s="4" t="n"/>
      <c r="M246" s="2" t="inlineStr">
        <is>
          <t>USD</t>
        </is>
      </c>
      <c r="N246" s="2" t="n"/>
      <c r="O246" s="3" t="inlineStr">
        <is>
          <t>Non stimabile – dati insufficienti</t>
        </is>
      </c>
      <c r="P246" s="3" t="inlineStr">
        <is>
          <t>Non indicato</t>
        </is>
      </c>
      <c r="Q246" s="5" t="n"/>
      <c r="R246" s="6">
        <f>IF(Q246="","",Q246-TODAY())</f>
        <v/>
      </c>
      <c r="S246" s="5" t="n"/>
      <c r="T246" s="2" t="n"/>
      <c r="U246" s="2" t="n"/>
      <c r="V246" s="3" t="n"/>
      <c r="W246" s="3" t="n"/>
      <c r="X246" s="2" t="inlineStr">
        <is>
          <t>USA</t>
        </is>
      </c>
      <c r="Y246" s="2" t="inlineStr">
        <is>
          <t>Inglese</t>
        </is>
      </c>
      <c r="Z246" s="7" t="inlineStr">
        <is>
          <t>https://foundation4pt.org/foundation-funding-opportunities/application-review-process/</t>
        </is>
      </c>
      <c r="AA246" s="3" t="n"/>
      <c r="AB246" s="2" t="inlineStr">
        <is>
          <t>Scadenza da verificare</t>
        </is>
      </c>
      <c r="AC246" s="5" t="n">
        <v>46312</v>
      </c>
      <c r="AD246" s="5" t="n">
        <v>46312</v>
      </c>
      <c r="AE246" s="2" t="n"/>
    </row>
    <row r="247">
      <c r="A247" s="2" t="inlineStr">
        <is>
          <t>WEB-fbb84ea0427d</t>
        </is>
      </c>
      <c r="B247" s="2" t="inlineStr">
        <is>
          <t>Foundation for Physical Therapy Research</t>
        </is>
      </c>
      <c r="C247" s="2" t="inlineStr">
        <is>
          <t>2018 FPTR Pediatric Grant Recipient Studies Cerebral Palsy Interventions in Early Infancy</t>
        </is>
      </c>
      <c r="D247" s="2" t="inlineStr">
        <is>
          <t>Foundation for Physical Therapy Research</t>
        </is>
      </c>
      <c r="E247" s="3" t="inlineStr">
        <is>
          <t>2018 FPTR Pediatric Grant Recipient Studies Cerebral Palsy Interventions in Early Infancy</t>
        </is>
      </c>
      <c r="F247" s="3" t="inlineStr">
        <is>
          <t>2018 FPTR Pediatric Grant Recipient Studies Cerebral Palsy Interventions in Early Infancy</t>
        </is>
      </c>
      <c r="G247" s="2" t="inlineStr">
        <is>
          <t>Tecnologie riabilitazione</t>
        </is>
      </c>
      <c r="H247" s="2" t="inlineStr">
        <is>
          <t>rehabilitat, physical therap, telerehabilit</t>
        </is>
      </c>
      <c r="I247" s="2" t="inlineStr">
        <is>
          <t>Non analizzato</t>
        </is>
      </c>
      <c r="J247" s="3" t="n"/>
      <c r="K247" s="4" t="n">
        <v>40000</v>
      </c>
      <c r="L247" s="4" t="n"/>
      <c r="M247" s="2" t="inlineStr">
        <is>
          <t>USD</t>
        </is>
      </c>
      <c r="N247" s="2" t="n"/>
      <c r="O247" s="3" t="inlineStr">
        <is>
          <t>Non stimabile – dati insufficienti</t>
        </is>
      </c>
      <c r="P247" s="3" t="inlineStr">
        <is>
          <t>Non indicato</t>
        </is>
      </c>
      <c r="Q247" s="5" t="n"/>
      <c r="R247" s="6">
        <f>IF(Q247="","",Q247-TODAY())</f>
        <v/>
      </c>
      <c r="S247" s="5" t="n"/>
      <c r="T247" s="2" t="n"/>
      <c r="U247" s="2" t="n"/>
      <c r="V247" s="3" t="n"/>
      <c r="W247" s="3" t="n"/>
      <c r="X247" s="2" t="inlineStr">
        <is>
          <t>USA</t>
        </is>
      </c>
      <c r="Y247" s="2" t="inlineStr">
        <is>
          <t>Inglese</t>
        </is>
      </c>
      <c r="Z247" s="7" t="inlineStr">
        <is>
          <t>https://foundation4pt.org/stories/2018-fptr-pediatric-grant-recipient-studies-cerebral-palsy-interventions-in-early-infancy/</t>
        </is>
      </c>
      <c r="AA247" s="3" t="n"/>
      <c r="AB247" s="2" t="inlineStr">
        <is>
          <t>Scadenza da verificare</t>
        </is>
      </c>
      <c r="AC247" s="5" t="n">
        <v>46312</v>
      </c>
      <c r="AD247" s="5" t="n">
        <v>46312</v>
      </c>
      <c r="AE247" s="2" t="n"/>
    </row>
    <row r="248">
      <c r="A248" s="2" t="inlineStr">
        <is>
          <t>WEB-b53bf29d9b73</t>
        </is>
      </c>
      <c r="B248" s="2" t="inlineStr">
        <is>
          <t>Foundation for Physical Therapy Research</t>
        </is>
      </c>
      <c r="C248" s="2" t="inlineStr">
        <is>
          <t>The Foundation for Physical Therapy Research Announces 2026 Service Award Recipients</t>
        </is>
      </c>
      <c r="D248" s="2" t="inlineStr">
        <is>
          <t>Foundation for Physical Therapy Research</t>
        </is>
      </c>
      <c r="E248" s="3" t="inlineStr">
        <is>
          <t>The Foundation for Physical Therapy Research Announces 2026 Service Award Recipients</t>
        </is>
      </c>
      <c r="F248" s="3" t="inlineStr">
        <is>
          <t>The Foundation for Physical Therapy Research Announces 2026 Service Award Recipients</t>
        </is>
      </c>
      <c r="G248" s="2" t="inlineStr">
        <is>
          <t>Riabilitazione</t>
        </is>
      </c>
      <c r="H248" s="2" t="inlineStr">
        <is>
          <t>physical therap</t>
        </is>
      </c>
      <c r="I248" s="2" t="inlineStr">
        <is>
          <t>Non analizzato</t>
        </is>
      </c>
      <c r="J248" s="3" t="n"/>
      <c r="K248" s="4" t="n"/>
      <c r="L248" s="4" t="n"/>
      <c r="M248" s="2" t="n"/>
      <c r="N248" s="2" t="n"/>
      <c r="O248" s="3" t="inlineStr">
        <is>
          <t>Non stimabile – dati insufficienti</t>
        </is>
      </c>
      <c r="P248" s="3" t="inlineStr">
        <is>
          <t>Non indicato</t>
        </is>
      </c>
      <c r="Q248" s="5" t="n"/>
      <c r="R248" s="6">
        <f>IF(Q248="","",Q248-TODAY())</f>
        <v/>
      </c>
      <c r="S248" s="5" t="n"/>
      <c r="T248" s="2" t="n"/>
      <c r="U248" s="2" t="n"/>
      <c r="V248" s="3" t="n"/>
      <c r="W248" s="3" t="n"/>
      <c r="X248" s="2" t="inlineStr">
        <is>
          <t>USA</t>
        </is>
      </c>
      <c r="Y248" s="2" t="inlineStr">
        <is>
          <t>Inglese</t>
        </is>
      </c>
      <c r="Z248" s="7" t="inlineStr">
        <is>
          <t>https://foundation4pt.org/2026-service-award-recipients/</t>
        </is>
      </c>
      <c r="AA248" s="3" t="n"/>
      <c r="AB248" s="2" t="inlineStr">
        <is>
          <t>Scadenza da verificare</t>
        </is>
      </c>
      <c r="AC248" s="5" t="n">
        <v>46312</v>
      </c>
      <c r="AD248" s="5" t="n">
        <v>46312</v>
      </c>
      <c r="AE248" s="2" t="n"/>
    </row>
    <row r="249">
      <c r="A249" s="2" t="inlineStr">
        <is>
          <t>WEB-aead8398cbba</t>
        </is>
      </c>
      <c r="B249" s="2" t="inlineStr">
        <is>
          <t>Foundation for Physical Therapy Research</t>
        </is>
      </c>
      <c r="C249" s="2" t="inlineStr">
        <is>
          <t>Comparative Effectiveness of Telehealth vs in-Person Delivery of the Supporting Play Exploration and Early Development Intervention in Underserved Urban and Rural Populations</t>
        </is>
      </c>
      <c r="D249" s="2" t="inlineStr">
        <is>
          <t>Foundation for Physical Therapy Research</t>
        </is>
      </c>
      <c r="E249" s="3" t="inlineStr">
        <is>
          <t>Comparative Effectiveness of Telehealth vs in-Person Delivery of the Supporting Play Exploration and Early Development Intervention in Underserved Urban and Rural Populations</t>
        </is>
      </c>
      <c r="F249" s="3" t="inlineStr">
        <is>
          <t>Comparative Effectiveness of Telehealth vs in-Person Delivery of the Supporting Play Exploration and Early Development Intervention in Underserved Urban and Rural Populations</t>
        </is>
      </c>
      <c r="G249" s="2" t="inlineStr">
        <is>
          <t>Tecnologie riabilitazione</t>
        </is>
      </c>
      <c r="H249" s="2" t="inlineStr">
        <is>
          <t>rehabilitat, physical therap, telerehabilit</t>
        </is>
      </c>
      <c r="I249" s="2" t="inlineStr">
        <is>
          <t>Non analizzato</t>
        </is>
      </c>
      <c r="J249" s="3" t="n"/>
      <c r="K249" s="4" t="n">
        <v>200000</v>
      </c>
      <c r="L249" s="4" t="n"/>
      <c r="M249" s="2" t="inlineStr">
        <is>
          <t>USD</t>
        </is>
      </c>
      <c r="N249" s="2" t="n"/>
      <c r="O249" s="3" t="inlineStr">
        <is>
          <t>Non stimabile – dati insufficienti</t>
        </is>
      </c>
      <c r="P249" s="3" t="inlineStr">
        <is>
          <t>Non indicato</t>
        </is>
      </c>
      <c r="Q249" s="5" t="n"/>
      <c r="R249" s="6">
        <f>IF(Q249="","",Q249-TODAY())</f>
        <v/>
      </c>
      <c r="S249" s="5" t="n"/>
      <c r="T249" s="2" t="n"/>
      <c r="U249" s="2" t="n"/>
      <c r="V249" s="3" t="n"/>
      <c r="W249" s="3" t="n"/>
      <c r="X249" s="2" t="inlineStr">
        <is>
          <t>USA</t>
        </is>
      </c>
      <c r="Y249" s="2" t="inlineStr">
        <is>
          <t>Inglese</t>
        </is>
      </c>
      <c r="Z249" s="7" t="inlineStr">
        <is>
          <t>https://foundation4pt.org/funding-database/comparative-effectiveness-of-telehealth-vs-in-person-delivery-of-the-supporting-play-exploration-and-early-development-intervention-in-underserved-urban-and-rural-populations/</t>
        </is>
      </c>
      <c r="AA249" s="3" t="n"/>
      <c r="AB249" s="2" t="inlineStr">
        <is>
          <t>Scadenza da verificare</t>
        </is>
      </c>
      <c r="AC249" s="5" t="n">
        <v>46312</v>
      </c>
      <c r="AD249" s="5" t="n">
        <v>46312</v>
      </c>
      <c r="AE249" s="2" t="n"/>
    </row>
    <row r="250">
      <c r="A250" s="2" t="inlineStr">
        <is>
          <t>WEB-a48880d5e152</t>
        </is>
      </c>
      <c r="B250" s="2" t="inlineStr">
        <is>
          <t>Foundation for Physical Therapy Research</t>
        </is>
      </c>
      <c r="C250" s="2" t="inlineStr">
        <is>
          <t>Brain-Heart-Behavior Connections: Understanding Associations Between Parent-Infant Relationships, Infant Neurodevelopment, and Parent Neurophysiology</t>
        </is>
      </c>
      <c r="D250" s="2" t="inlineStr">
        <is>
          <t>Foundation for Physical Therapy Research</t>
        </is>
      </c>
      <c r="E250" s="3" t="inlineStr">
        <is>
          <t>Brain-Heart-Behavior Connections: Understanding Associations Between Parent-Infant Relationships, Infant Neurodevelopment, and Parent Neurophysiology</t>
        </is>
      </c>
      <c r="F250" s="3" t="inlineStr">
        <is>
          <t>Brain-Heart-Behavior Connections: Understanding Associations Between Parent-Infant Relationships, Infant Neurodevelopment, and Parent Neurophysiology</t>
        </is>
      </c>
      <c r="G250" s="2" t="inlineStr">
        <is>
          <t>Riabilitazione</t>
        </is>
      </c>
      <c r="H250" s="2" t="inlineStr">
        <is>
          <t>physical therap</t>
        </is>
      </c>
      <c r="I250" s="2" t="inlineStr">
        <is>
          <t>Non analizzato</t>
        </is>
      </c>
      <c r="J250" s="3" t="n"/>
      <c r="K250" s="4" t="n">
        <v>40000</v>
      </c>
      <c r="L250" s="4" t="n"/>
      <c r="M250" s="2" t="inlineStr">
        <is>
          <t>USD</t>
        </is>
      </c>
      <c r="N250" s="2" t="n"/>
      <c r="O250" s="3" t="inlineStr">
        <is>
          <t>Non stimabile – dati insufficienti</t>
        </is>
      </c>
      <c r="P250" s="3" t="inlineStr">
        <is>
          <t>Non indicato</t>
        </is>
      </c>
      <c r="Q250" s="5" t="n"/>
      <c r="R250" s="6">
        <f>IF(Q250="","",Q250-TODAY())</f>
        <v/>
      </c>
      <c r="S250" s="5" t="n"/>
      <c r="T250" s="2" t="n"/>
      <c r="U250" s="2" t="n"/>
      <c r="V250" s="3" t="n"/>
      <c r="W250" s="3" t="n"/>
      <c r="X250" s="2" t="inlineStr">
        <is>
          <t>USA</t>
        </is>
      </c>
      <c r="Y250" s="2" t="inlineStr">
        <is>
          <t>Inglese</t>
        </is>
      </c>
      <c r="Z250" s="7" t="inlineStr">
        <is>
          <t>https://foundation4pt.org/funding-database/brain-heart-behavior-connections-understanding-associations-between-parent-infant-relationships-infant-neurodevelopment-and-parent-neurophysiology/</t>
        </is>
      </c>
      <c r="AA250" s="3" t="n"/>
      <c r="AB250" s="2" t="inlineStr">
        <is>
          <t>Scadenza da verificare</t>
        </is>
      </c>
      <c r="AC250" s="5" t="n">
        <v>46312</v>
      </c>
      <c r="AD250" s="5" t="n">
        <v>46312</v>
      </c>
      <c r="AE250" s="2" t="n"/>
    </row>
    <row r="251">
      <c r="A251" s="2" t="inlineStr">
        <is>
          <t>WEB-67c2739330d5</t>
        </is>
      </c>
      <c r="B251" s="2" t="inlineStr">
        <is>
          <t>Foundation for Physical Therapy Research</t>
        </is>
      </c>
      <c r="C251" s="2" t="inlineStr">
        <is>
          <t>Supraspinatus Muscle Response to Exercise in Individuals With Rotator Cuff Tears who Failed Physical Therapy</t>
        </is>
      </c>
      <c r="D251" s="2" t="inlineStr">
        <is>
          <t>Foundation for Physical Therapy Research</t>
        </is>
      </c>
      <c r="E251" s="3" t="inlineStr">
        <is>
          <t>Supraspinatus Muscle Response to Exercise in Individuals With Rotator Cuff Tears who Failed Physical Therapy</t>
        </is>
      </c>
      <c r="F251" s="3" t="inlineStr">
        <is>
          <t>Supraspinatus Muscle Response to Exercise in Individuals With Rotator Cuff Tears who Failed Physical Therapy</t>
        </is>
      </c>
      <c r="G251" s="2" t="inlineStr">
        <is>
          <t>Riabilitazione</t>
        </is>
      </c>
      <c r="H251" s="2" t="inlineStr">
        <is>
          <t>physical therap</t>
        </is>
      </c>
      <c r="I251" s="2" t="inlineStr">
        <is>
          <t>Non analizzato</t>
        </is>
      </c>
      <c r="J251" s="3" t="n"/>
      <c r="K251" s="4" t="n">
        <v>40000</v>
      </c>
      <c r="L251" s="4" t="n"/>
      <c r="M251" s="2" t="inlineStr">
        <is>
          <t>USD</t>
        </is>
      </c>
      <c r="N251" s="2" t="n"/>
      <c r="O251" s="3" t="inlineStr">
        <is>
          <t>Non stimabile – dati insufficienti</t>
        </is>
      </c>
      <c r="P251" s="3" t="inlineStr">
        <is>
          <t>Non indicato</t>
        </is>
      </c>
      <c r="Q251" s="5" t="n"/>
      <c r="R251" s="6">
        <f>IF(Q251="","",Q251-TODAY())</f>
        <v/>
      </c>
      <c r="S251" s="5" t="n"/>
      <c r="T251" s="2" t="n"/>
      <c r="U251" s="2" t="n"/>
      <c r="V251" s="3" t="n"/>
      <c r="W251" s="3" t="n"/>
      <c r="X251" s="2" t="inlineStr">
        <is>
          <t>USA</t>
        </is>
      </c>
      <c r="Y251" s="2" t="inlineStr">
        <is>
          <t>Inglese</t>
        </is>
      </c>
      <c r="Z251" s="7" t="inlineStr">
        <is>
          <t>https://foundation4pt.org/funding-database/supraspinatus-muscle-response-to-exercise-in-individuals-with-rotator-cuff-tears-who-failed-physical-therapy/</t>
        </is>
      </c>
      <c r="AA251" s="3" t="n"/>
      <c r="AB251" s="2" t="inlineStr">
        <is>
          <t>Scadenza da verificare</t>
        </is>
      </c>
      <c r="AC251" s="5" t="n">
        <v>46312</v>
      </c>
      <c r="AD251" s="5" t="n">
        <v>46312</v>
      </c>
      <c r="AE251" s="2" t="n"/>
    </row>
    <row r="252">
      <c r="A252" s="2" t="inlineStr">
        <is>
          <t>WEB-eaf7618a8796</t>
        </is>
      </c>
      <c r="B252" s="2" t="inlineStr">
        <is>
          <t>Foundation for Physical Therapy Research</t>
        </is>
      </c>
      <c r="C252" s="2" t="inlineStr">
        <is>
          <t>Defining and Evaluating the “Integrated Practice Unit” as a Model for Acute Care Physical Therapy Delivery</t>
        </is>
      </c>
      <c r="D252" s="2" t="inlineStr">
        <is>
          <t>Foundation for Physical Therapy Research</t>
        </is>
      </c>
      <c r="E252" s="3" t="inlineStr">
        <is>
          <t>Defining and Evaluating the “Integrated Practice Unit” as a Model for Acute Care Physical Therapy Delivery</t>
        </is>
      </c>
      <c r="F252" s="3" t="inlineStr">
        <is>
          <t>Defining and Evaluating the “Integrated Practice Unit” as a Model for Acute Care Physical Therapy Delivery</t>
        </is>
      </c>
      <c r="G252" s="2" t="inlineStr">
        <is>
          <t>Riabilitazione</t>
        </is>
      </c>
      <c r="H252" s="2" t="inlineStr">
        <is>
          <t>physical therap</t>
        </is>
      </c>
      <c r="I252" s="2" t="inlineStr">
        <is>
          <t>Non analizzato</t>
        </is>
      </c>
      <c r="J252" s="3" t="n"/>
      <c r="K252" s="4" t="n">
        <v>80000</v>
      </c>
      <c r="L252" s="4" t="n"/>
      <c r="M252" s="2" t="inlineStr">
        <is>
          <t>USD</t>
        </is>
      </c>
      <c r="N252" s="2" t="n"/>
      <c r="O252" s="3" t="inlineStr">
        <is>
          <t>Non stimabile – dati insufficienti</t>
        </is>
      </c>
      <c r="P252" s="3" t="inlineStr">
        <is>
          <t>Non indicato</t>
        </is>
      </c>
      <c r="Q252" s="5" t="n"/>
      <c r="R252" s="6">
        <f>IF(Q252="","",Q252-TODAY())</f>
        <v/>
      </c>
      <c r="S252" s="5" t="n"/>
      <c r="T252" s="2" t="n"/>
      <c r="U252" s="2" t="n"/>
      <c r="V252" s="3" t="n"/>
      <c r="W252" s="3" t="n"/>
      <c r="X252" s="2" t="inlineStr">
        <is>
          <t>USA</t>
        </is>
      </c>
      <c r="Y252" s="2" t="inlineStr">
        <is>
          <t>Inglese</t>
        </is>
      </c>
      <c r="Z252" s="7" t="inlineStr">
        <is>
          <t>https://foundation4pt.org/funding-database/defining-and-evaluating-the-integrated-practice-unit-as-a-model-for-acute-care-physical-therapy-delivery/</t>
        </is>
      </c>
      <c r="AA252" s="3" t="n"/>
      <c r="AB252" s="2" t="inlineStr">
        <is>
          <t>Scadenza da verificare</t>
        </is>
      </c>
      <c r="AC252" s="5" t="n">
        <v>46312</v>
      </c>
      <c r="AD252" s="5" t="n">
        <v>46312</v>
      </c>
      <c r="AE252" s="2" t="n"/>
    </row>
    <row r="253">
      <c r="A253" s="2" t="inlineStr">
        <is>
          <t>WEB-22ffc111a27f</t>
        </is>
      </c>
      <c r="B253" s="2" t="inlineStr">
        <is>
          <t>Foundation for Physical Therapy Research</t>
        </is>
      </c>
      <c r="C253" s="2" t="inlineStr">
        <is>
          <t>Intensive Physical Therapy for Young Children With Ventricular Assist Devices Prior to Heart Transplant</t>
        </is>
      </c>
      <c r="D253" s="2" t="inlineStr">
        <is>
          <t>Foundation for Physical Therapy Research</t>
        </is>
      </c>
      <c r="E253" s="3" t="inlineStr">
        <is>
          <t>Intensive Physical Therapy for Young Children With Ventricular Assist Devices Prior to Heart Transplant</t>
        </is>
      </c>
      <c r="F253" s="3" t="inlineStr">
        <is>
          <t>Intensive Physical Therapy for Young Children With Ventricular Assist Devices Prior to Heart Transplant</t>
        </is>
      </c>
      <c r="G253" s="2" t="inlineStr">
        <is>
          <t>Riabilitazione</t>
        </is>
      </c>
      <c r="H253" s="2" t="inlineStr">
        <is>
          <t>physical therap</t>
        </is>
      </c>
      <c r="I253" s="2" t="inlineStr">
        <is>
          <t>Non analizzato</t>
        </is>
      </c>
      <c r="J253" s="3" t="n"/>
      <c r="K253" s="4" t="n">
        <v>40000</v>
      </c>
      <c r="L253" s="4" t="n"/>
      <c r="M253" s="2" t="inlineStr">
        <is>
          <t>USD</t>
        </is>
      </c>
      <c r="N253" s="2" t="n"/>
      <c r="O253" s="3" t="inlineStr">
        <is>
          <t>Non stimabile – dati insufficienti</t>
        </is>
      </c>
      <c r="P253" s="3" t="inlineStr">
        <is>
          <t>Non indicato</t>
        </is>
      </c>
      <c r="Q253" s="5" t="n"/>
      <c r="R253" s="6">
        <f>IF(Q253="","",Q253-TODAY())</f>
        <v/>
      </c>
      <c r="S253" s="5" t="n"/>
      <c r="T253" s="2" t="n"/>
      <c r="U253" s="2" t="n"/>
      <c r="V253" s="3" t="n"/>
      <c r="W253" s="3" t="n"/>
      <c r="X253" s="2" t="inlineStr">
        <is>
          <t>USA</t>
        </is>
      </c>
      <c r="Y253" s="2" t="inlineStr">
        <is>
          <t>Inglese</t>
        </is>
      </c>
      <c r="Z253" s="7" t="inlineStr">
        <is>
          <t>https://foundation4pt.org/funding-database/intensive-physical-therapy-for-young-children-with-ventricular-assist-devices-prior-to-heart-transplant/</t>
        </is>
      </c>
      <c r="AA253" s="3" t="n"/>
      <c r="AB253" s="2" t="inlineStr">
        <is>
          <t>Scadenza da verificare</t>
        </is>
      </c>
      <c r="AC253" s="5" t="n">
        <v>46312</v>
      </c>
      <c r="AD253" s="5" t="n">
        <v>46312</v>
      </c>
      <c r="AE253" s="2" t="n"/>
    </row>
    <row r="254">
      <c r="A254" s="2" t="inlineStr">
        <is>
          <t>WEB-bfa5a3a80456</t>
        </is>
      </c>
      <c r="B254" s="2" t="inlineStr">
        <is>
          <t>Foundation for Physical Therapy Research</t>
        </is>
      </c>
      <c r="C254" s="2" t="inlineStr">
        <is>
          <t>Respiratory Neural Drive in Down Syndrome</t>
        </is>
      </c>
      <c r="D254" s="2" t="inlineStr">
        <is>
          <t>Foundation for Physical Therapy Research</t>
        </is>
      </c>
      <c r="E254" s="3" t="inlineStr">
        <is>
          <t>Respiratory Neural Drive in Down Syndrome</t>
        </is>
      </c>
      <c r="F254" s="3" t="inlineStr">
        <is>
          <t>Respiratory Neural Drive in Down Syndrome</t>
        </is>
      </c>
      <c r="G254" s="2" t="inlineStr">
        <is>
          <t>Riabilitazione</t>
        </is>
      </c>
      <c r="H254" s="2" t="inlineStr">
        <is>
          <t>physical therap</t>
        </is>
      </c>
      <c r="I254" s="2" t="inlineStr">
        <is>
          <t>Non analizzato</t>
        </is>
      </c>
      <c r="J254" s="3" t="n"/>
      <c r="K254" s="4" t="n">
        <v>175000</v>
      </c>
      <c r="L254" s="4" t="n"/>
      <c r="M254" s="2" t="inlineStr">
        <is>
          <t>USD</t>
        </is>
      </c>
      <c r="N254" s="2" t="n"/>
      <c r="O254" s="3" t="inlineStr">
        <is>
          <t>Non stimabile – dati insufficienti</t>
        </is>
      </c>
      <c r="P254" s="3" t="inlineStr">
        <is>
          <t>Non indicato</t>
        </is>
      </c>
      <c r="Q254" s="5" t="n"/>
      <c r="R254" s="6">
        <f>IF(Q254="","",Q254-TODAY())</f>
        <v/>
      </c>
      <c r="S254" s="5" t="n"/>
      <c r="T254" s="2" t="n"/>
      <c r="U254" s="2" t="n"/>
      <c r="V254" s="3" t="n"/>
      <c r="W254" s="3" t="n"/>
      <c r="X254" s="2" t="inlineStr">
        <is>
          <t>USA</t>
        </is>
      </c>
      <c r="Y254" s="2" t="inlineStr">
        <is>
          <t>Inglese</t>
        </is>
      </c>
      <c r="Z254" s="7" t="inlineStr">
        <is>
          <t>https://foundation4pt.org/funding-database/respiratory-neural-drive-in-down-syndrome/</t>
        </is>
      </c>
      <c r="AA254" s="3" t="n"/>
      <c r="AB254" s="2" t="inlineStr">
        <is>
          <t>Scadenza da verificare</t>
        </is>
      </c>
      <c r="AC254" s="5" t="n">
        <v>46312</v>
      </c>
      <c r="AD254" s="5" t="n">
        <v>46312</v>
      </c>
      <c r="AE254" s="2" t="n"/>
    </row>
    <row r="255">
      <c r="A255" s="2" t="inlineStr">
        <is>
          <t>WEB-a4357f8df33d</t>
        </is>
      </c>
      <c r="B255" s="2" t="inlineStr">
        <is>
          <t>Foundation for Physical Therapy Research</t>
        </is>
      </c>
      <c r="C255" s="2" t="inlineStr">
        <is>
          <t>Cost-Effectiveness of Telerehabilitation for Individuals With Temporomandibular Disorders</t>
        </is>
      </c>
      <c r="D255" s="2" t="inlineStr">
        <is>
          <t>Foundation for Physical Therapy Research</t>
        </is>
      </c>
      <c r="E255" s="3" t="inlineStr">
        <is>
          <t>Cost-Effectiveness of Telerehabilitation for Individuals With Temporomandibular Disorders</t>
        </is>
      </c>
      <c r="F255" s="3" t="inlineStr">
        <is>
          <t>Cost-Effectiveness of Telerehabilitation for Individuals With Temporomandibular Disorders</t>
        </is>
      </c>
      <c r="G255" s="2" t="inlineStr">
        <is>
          <t>Tecnologie riabilitazione</t>
        </is>
      </c>
      <c r="H255" s="2" t="inlineStr">
        <is>
          <t>rehabilitat, physical therap, disabilit, telerehabilit</t>
        </is>
      </c>
      <c r="I255" s="2" t="inlineStr">
        <is>
          <t>Non analizzato</t>
        </is>
      </c>
      <c r="J255" s="3" t="n"/>
      <c r="K255" s="4" t="n">
        <v>40000</v>
      </c>
      <c r="L255" s="4" t="n"/>
      <c r="M255" s="2" t="inlineStr">
        <is>
          <t>USD</t>
        </is>
      </c>
      <c r="N255" s="2" t="n"/>
      <c r="O255" s="3" t="inlineStr">
        <is>
          <t>Non stimabile – dati insufficienti</t>
        </is>
      </c>
      <c r="P255" s="3" t="inlineStr">
        <is>
          <t>Non indicato</t>
        </is>
      </c>
      <c r="Q255" s="5" t="n"/>
      <c r="R255" s="6">
        <f>IF(Q255="","",Q255-TODAY())</f>
        <v/>
      </c>
      <c r="S255" s="5" t="n"/>
      <c r="T255" s="2" t="n"/>
      <c r="U255" s="2" t="n"/>
      <c r="V255" s="3" t="n"/>
      <c r="W255" s="3" t="n"/>
      <c r="X255" s="2" t="inlineStr">
        <is>
          <t>USA</t>
        </is>
      </c>
      <c r="Y255" s="2" t="inlineStr">
        <is>
          <t>Inglese</t>
        </is>
      </c>
      <c r="Z255" s="7" t="inlineStr">
        <is>
          <t>https://foundation4pt.org/funding-database/cost-effectiveness-of-telerehabilitation-for-individuals-with-temporomandibular-disorders/</t>
        </is>
      </c>
      <c r="AA255" s="3" t="n"/>
      <c r="AB255" s="2" t="inlineStr">
        <is>
          <t>Scadenza da verificare</t>
        </is>
      </c>
      <c r="AC255" s="5" t="n">
        <v>46312</v>
      </c>
      <c r="AD255" s="5" t="n">
        <v>46312</v>
      </c>
      <c r="AE255" s="2" t="n"/>
    </row>
    <row r="256">
      <c r="A256" s="2" t="inlineStr">
        <is>
          <t>WEB-89ea11473f48</t>
        </is>
      </c>
      <c r="B256" s="2" t="inlineStr">
        <is>
          <t>Foundation for Physical Therapy Research</t>
        </is>
      </c>
      <c r="C256" s="2" t="inlineStr">
        <is>
          <t>Rehabilitation-based Approaches to Prevent Mechanical Ventilation-Induced Breathing Dysfunction</t>
        </is>
      </c>
      <c r="D256" s="2" t="inlineStr">
        <is>
          <t>Foundation for Physical Therapy Research</t>
        </is>
      </c>
      <c r="E256" s="3" t="inlineStr">
        <is>
          <t>Rehabilitation-based Approaches to Prevent Mechanical Ventilation-Induced Breathing Dysfunction</t>
        </is>
      </c>
      <c r="F256" s="3" t="inlineStr">
        <is>
          <t>Rehabilitation-based Approaches to Prevent Mechanical Ventilation-Induced Breathing Dysfunction</t>
        </is>
      </c>
      <c r="G256" s="2" t="inlineStr">
        <is>
          <t>Riabilitazione</t>
        </is>
      </c>
      <c r="H256" s="2" t="inlineStr">
        <is>
          <t>rehabilitat, physical therap</t>
        </is>
      </c>
      <c r="I256" s="2" t="inlineStr">
        <is>
          <t>Non analizzato</t>
        </is>
      </c>
      <c r="J256" s="3" t="n"/>
      <c r="K256" s="4" t="n">
        <v>40000</v>
      </c>
      <c r="L256" s="4" t="n"/>
      <c r="M256" s="2" t="inlineStr">
        <is>
          <t>USD</t>
        </is>
      </c>
      <c r="N256" s="2" t="n"/>
      <c r="O256" s="3" t="inlineStr">
        <is>
          <t>Non stimabile – dati insufficienti</t>
        </is>
      </c>
      <c r="P256" s="3" t="inlineStr">
        <is>
          <t>Non indicato</t>
        </is>
      </c>
      <c r="Q256" s="5" t="n"/>
      <c r="R256" s="6">
        <f>IF(Q256="","",Q256-TODAY())</f>
        <v/>
      </c>
      <c r="S256" s="5" t="n"/>
      <c r="T256" s="2" t="n"/>
      <c r="U256" s="2" t="n"/>
      <c r="V256" s="3" t="n"/>
      <c r="W256" s="3" t="n"/>
      <c r="X256" s="2" t="inlineStr">
        <is>
          <t>USA</t>
        </is>
      </c>
      <c r="Y256" s="2" t="inlineStr">
        <is>
          <t>Inglese</t>
        </is>
      </c>
      <c r="Z256" s="7" t="inlineStr">
        <is>
          <t>https://foundation4pt.org/funding-database/rehabilitation-based-approaches-to-prevent-mechanical-ventilation-induced-breathing-dysfunction/</t>
        </is>
      </c>
      <c r="AA256" s="3" t="n"/>
      <c r="AB256" s="2" t="inlineStr">
        <is>
          <t>Scadenza da verificare</t>
        </is>
      </c>
      <c r="AC256" s="5" t="n">
        <v>46312</v>
      </c>
      <c r="AD256" s="5" t="n">
        <v>46312</v>
      </c>
      <c r="AE256" s="2" t="n"/>
    </row>
    <row r="257">
      <c r="A257" s="2" t="inlineStr">
        <is>
          <t>WEB-8d514510f24f</t>
        </is>
      </c>
      <c r="B257" s="2" t="inlineStr">
        <is>
          <t>Foundation for Physical Therapy Research</t>
        </is>
      </c>
      <c r="C257" s="2" t="inlineStr">
        <is>
          <t>Effects of Noxious vs Non-Noxious Knee Mobilization on Cortical Activity in Chronic Joint Pain</t>
        </is>
      </c>
      <c r="D257" s="2" t="inlineStr">
        <is>
          <t>Foundation for Physical Therapy Research</t>
        </is>
      </c>
      <c r="E257" s="3" t="inlineStr">
        <is>
          <t>Effects of Noxious vs Non-Noxious Knee Mobilization on Cortical Activity in Chronic Joint Pain</t>
        </is>
      </c>
      <c r="F257" s="3" t="inlineStr">
        <is>
          <t>Effects of Noxious vs Non-Noxious Knee Mobilization on Cortical Activity in Chronic Joint Pain</t>
        </is>
      </c>
      <c r="G257" s="2" t="inlineStr">
        <is>
          <t>Riabilitazione</t>
        </is>
      </c>
      <c r="H257" s="2" t="inlineStr">
        <is>
          <t>physical therap</t>
        </is>
      </c>
      <c r="I257" s="2" t="inlineStr">
        <is>
          <t>Non analizzato</t>
        </is>
      </c>
      <c r="J257" s="3" t="n"/>
      <c r="K257" s="4" t="n">
        <v>200000</v>
      </c>
      <c r="L257" s="4" t="n"/>
      <c r="M257" s="2" t="inlineStr">
        <is>
          <t>USD</t>
        </is>
      </c>
      <c r="N257" s="2" t="n"/>
      <c r="O257" s="3" t="inlineStr">
        <is>
          <t>Non stimabile – dati insufficienti</t>
        </is>
      </c>
      <c r="P257" s="3" t="inlineStr">
        <is>
          <t>Non indicato</t>
        </is>
      </c>
      <c r="Q257" s="5" t="n"/>
      <c r="R257" s="6">
        <f>IF(Q257="","",Q257-TODAY())</f>
        <v/>
      </c>
      <c r="S257" s="5" t="n"/>
      <c r="T257" s="2" t="n"/>
      <c r="U257" s="2" t="n"/>
      <c r="V257" s="3" t="n"/>
      <c r="W257" s="3" t="n"/>
      <c r="X257" s="2" t="inlineStr">
        <is>
          <t>USA</t>
        </is>
      </c>
      <c r="Y257" s="2" t="inlineStr">
        <is>
          <t>Inglese</t>
        </is>
      </c>
      <c r="Z257" s="7" t="inlineStr">
        <is>
          <t>https://foundation4pt.org/funding-database/effects-of-noxious-vs-non-noxious-knee-mobilization-on-cortical-activity-in-chronic-joint-pain/</t>
        </is>
      </c>
      <c r="AA257" s="3" t="n"/>
      <c r="AB257" s="2" t="inlineStr">
        <is>
          <t>Scadenza da verificare</t>
        </is>
      </c>
      <c r="AC257" s="5" t="n">
        <v>46312</v>
      </c>
      <c r="AD257" s="5" t="n">
        <v>46312</v>
      </c>
      <c r="AE257" s="2" t="n"/>
    </row>
    <row r="258">
      <c r="A258" s="2" t="inlineStr">
        <is>
          <t>WEB-1987665eca09</t>
        </is>
      </c>
      <c r="B258" s="2" t="inlineStr">
        <is>
          <t>Foundation for Physical Therapy Research</t>
        </is>
      </c>
      <c r="C258" s="2" t="inlineStr">
        <is>
          <t>Balance Training With Restricted Vision: Implication for Fall Prevention in Older Adults (A Pilot Study)</t>
        </is>
      </c>
      <c r="D258" s="2" t="inlineStr">
        <is>
          <t>Foundation for Physical Therapy Research</t>
        </is>
      </c>
      <c r="E258" s="3" t="inlineStr">
        <is>
          <t>Balance Training With Restricted Vision: Implication for Fall Prevention in Older Adults (A Pilot Study)</t>
        </is>
      </c>
      <c r="F258" s="3" t="inlineStr">
        <is>
          <t>Balance Training With Restricted Vision: Implication for Fall Prevention in Older Adults (A Pilot Study)</t>
        </is>
      </c>
      <c r="G258" s="2" t="inlineStr">
        <is>
          <t>Invecchiamento, Tecnologie riabilitazione</t>
        </is>
      </c>
      <c r="H258" s="2" t="inlineStr">
        <is>
          <t>older adults, aging, fall prevention, rehabilitat, physical therap, gait</t>
        </is>
      </c>
      <c r="I258" s="2" t="inlineStr">
        <is>
          <t>Non analizzato</t>
        </is>
      </c>
      <c r="J258" s="3" t="n"/>
      <c r="K258" s="4" t="n">
        <v>40000</v>
      </c>
      <c r="L258" s="4" t="n"/>
      <c r="M258" s="2" t="inlineStr">
        <is>
          <t>USD</t>
        </is>
      </c>
      <c r="N258" s="2" t="n"/>
      <c r="O258" s="3" t="inlineStr">
        <is>
          <t>Non stimabile – dati insufficienti</t>
        </is>
      </c>
      <c r="P258" s="3" t="inlineStr">
        <is>
          <t>Non indicato</t>
        </is>
      </c>
      <c r="Q258" s="5" t="n"/>
      <c r="R258" s="6">
        <f>IF(Q258="","",Q258-TODAY())</f>
        <v/>
      </c>
      <c r="S258" s="5" t="n"/>
      <c r="T258" s="2" t="n"/>
      <c r="U258" s="2" t="n"/>
      <c r="V258" s="3" t="n"/>
      <c r="W258" s="3" t="n"/>
      <c r="X258" s="2" t="inlineStr">
        <is>
          <t>USA</t>
        </is>
      </c>
      <c r="Y258" s="2" t="inlineStr">
        <is>
          <t>Inglese</t>
        </is>
      </c>
      <c r="Z258" s="7" t="inlineStr">
        <is>
          <t>https://foundation4pt.org/funding-database/balance-training-with-restricted-vision-implication-for-fall-prevention-in-older-adults-a-pilot-study/</t>
        </is>
      </c>
      <c r="AA258" s="3" t="n"/>
      <c r="AB258" s="2" t="inlineStr">
        <is>
          <t>Scadenza da verificare</t>
        </is>
      </c>
      <c r="AC258" s="5" t="n">
        <v>46312</v>
      </c>
      <c r="AD258" s="5" t="n">
        <v>46312</v>
      </c>
      <c r="AE258" s="2" t="n"/>
    </row>
    <row r="259">
      <c r="A259" s="2" t="inlineStr">
        <is>
          <t>WEB-f06806eb9814</t>
        </is>
      </c>
      <c r="B259" s="2" t="inlineStr">
        <is>
          <t>Foundation for Physical Therapy Research</t>
        </is>
      </c>
      <c r="C259" s="2" t="inlineStr">
        <is>
          <t>Past Foundation Funding Recipients Recognized by 2025 APTA Honors &amp; Awards Program</t>
        </is>
      </c>
      <c r="D259" s="2" t="inlineStr">
        <is>
          <t>Foundation for Physical Therapy Research</t>
        </is>
      </c>
      <c r="E259" s="3" t="inlineStr">
        <is>
          <t>Past Foundation Funding Recipients Recognized by 2025 APTA Honors &amp; Awards Program</t>
        </is>
      </c>
      <c r="F259" s="3" t="inlineStr">
        <is>
          <t>Past Foundation Funding Recipients Recognized by 2025 APTA Honors &amp; Awards Program</t>
        </is>
      </c>
      <c r="G259" s="2" t="inlineStr">
        <is>
          <t>Riabilitazione</t>
        </is>
      </c>
      <c r="H259" s="2" t="inlineStr">
        <is>
          <t>physical therap</t>
        </is>
      </c>
      <c r="I259" s="2" t="inlineStr">
        <is>
          <t>Non analizzato</t>
        </is>
      </c>
      <c r="J259" s="3" t="n"/>
      <c r="K259" s="4" t="n">
        <v>307500</v>
      </c>
      <c r="L259" s="4" t="n"/>
      <c r="M259" s="2" t="inlineStr">
        <is>
          <t>USD</t>
        </is>
      </c>
      <c r="N259" s="2" t="n"/>
      <c r="O259" s="3" t="inlineStr">
        <is>
          <t>Non stimabile – dati insufficienti</t>
        </is>
      </c>
      <c r="P259" s="3" t="inlineStr">
        <is>
          <t>Non indicato</t>
        </is>
      </c>
      <c r="Q259" s="5" t="n"/>
      <c r="R259" s="6">
        <f>IF(Q259="","",Q259-TODAY())</f>
        <v/>
      </c>
      <c r="S259" s="5" t="n"/>
      <c r="T259" s="2" t="n"/>
      <c r="U259" s="2" t="n"/>
      <c r="V259" s="3" t="n"/>
      <c r="W259" s="3" t="n"/>
      <c r="X259" s="2" t="inlineStr">
        <is>
          <t>USA</t>
        </is>
      </c>
      <c r="Y259" s="2" t="inlineStr">
        <is>
          <t>Inglese</t>
        </is>
      </c>
      <c r="Z259" s="7" t="inlineStr">
        <is>
          <t>https://foundation4pt.org/past-foundation-funding-recipients-recognized-by-2025-apta-honors-awards-program-3/</t>
        </is>
      </c>
      <c r="AA259" s="3" t="n"/>
      <c r="AB259" s="2" t="inlineStr">
        <is>
          <t>Scadenza da verificare</t>
        </is>
      </c>
      <c r="AC259" s="5" t="n">
        <v>46312</v>
      </c>
      <c r="AD259" s="5" t="n">
        <v>46312</v>
      </c>
      <c r="AE259" s="2" t="n"/>
    </row>
    <row r="260">
      <c r="A260" s="2" t="inlineStr">
        <is>
          <t>WEB-d9c0e3fc00fb</t>
        </is>
      </c>
      <c r="B260" s="2" t="inlineStr">
        <is>
          <t>Brain Canada</t>
        </is>
      </c>
      <c r="C260" s="2" t="inlineStr">
        <is>
          <t>Understanding the impact of socioeconomic inequities, social support, and cognitive resilience in Alzheimer’s Disease</t>
        </is>
      </c>
      <c r="D260" s="2" t="inlineStr">
        <is>
          <t>Brain Canada</t>
        </is>
      </c>
      <c r="E260" s="3" t="inlineStr">
        <is>
          <t>Understanding the impact of socioeconomic inequities, social support, and cognitive resilience in Alzheimer’s Disease</t>
        </is>
      </c>
      <c r="F260" s="3" t="inlineStr">
        <is>
          <t>Understanding the impact of socioeconomic inequities, social support, and cognitive resilience in Alzheimer’s Disease</t>
        </is>
      </c>
      <c r="G260" s="2" t="inlineStr">
        <is>
          <t>Invecchiamento</t>
        </is>
      </c>
      <c r="H260" s="2" t="inlineStr">
        <is>
          <t>dementi, alzheimer, older adults, neurodegenerat</t>
        </is>
      </c>
      <c r="I260" s="2" t="inlineStr">
        <is>
          <t>Non analizzato</t>
        </is>
      </c>
      <c r="J260" s="3" t="n"/>
      <c r="K260" s="4" t="n">
        <v>200000</v>
      </c>
      <c r="L260" s="4" t="n"/>
      <c r="M260" s="2" t="inlineStr">
        <is>
          <t>USD</t>
        </is>
      </c>
      <c r="N260" s="2" t="n"/>
      <c r="O260" s="3" t="inlineStr">
        <is>
          <t>Non stimabile – dati insufficienti</t>
        </is>
      </c>
      <c r="P260" s="3" t="inlineStr">
        <is>
          <t>Non indicato</t>
        </is>
      </c>
      <c r="Q260" s="5" t="n"/>
      <c r="R260" s="6">
        <f>IF(Q260="","",Q260-TODAY())</f>
        <v/>
      </c>
      <c r="S260" s="5" t="n"/>
      <c r="T260" s="2" t="n"/>
      <c r="U260" s="2" t="n"/>
      <c r="V260" s="3" t="n"/>
      <c r="W260" s="3" t="n"/>
      <c r="X260" s="2" t="inlineStr">
        <is>
          <t>Canada</t>
        </is>
      </c>
      <c r="Y260" s="2" t="inlineStr">
        <is>
          <t>Inglese</t>
        </is>
      </c>
      <c r="Z260" s="7" t="inlineStr">
        <is>
          <t>https://braincanada.ca/funded-grants/understanding-the-impact-of-socioeconomic-inequities-social-support-and-cognitive-resilience-in-alzheimer-s-disease</t>
        </is>
      </c>
      <c r="AA260" s="3" t="n"/>
      <c r="AB260" s="2" t="inlineStr">
        <is>
          <t>Scadenza da verificare</t>
        </is>
      </c>
      <c r="AC260" s="5" t="n">
        <v>46312</v>
      </c>
      <c r="AD260" s="5" t="n">
        <v>46312</v>
      </c>
      <c r="AE260" s="2" t="n"/>
    </row>
    <row r="261">
      <c r="A261" s="2" t="inlineStr">
        <is>
          <t>WEB-219789099636</t>
        </is>
      </c>
      <c r="B261" s="2" t="inlineStr">
        <is>
          <t>Brain Canada</t>
        </is>
      </c>
      <c r="C261" s="2" t="inlineStr">
        <is>
          <t>An Inclusive Approach Towards Developing Biomarkers of Subjective Cognitive Decline and Progression to Dementia</t>
        </is>
      </c>
      <c r="D261" s="2" t="inlineStr">
        <is>
          <t>Brain Canada</t>
        </is>
      </c>
      <c r="E261" s="3" t="inlineStr">
        <is>
          <t>An Inclusive Approach Towards Developing Biomarkers of Subjective Cognitive Decline and Progression to Dementia</t>
        </is>
      </c>
      <c r="F261" s="3" t="inlineStr">
        <is>
          <t>An Inclusive Approach Towards Developing Biomarkers of Subjective Cognitive Decline and Progression to Dementia</t>
        </is>
      </c>
      <c r="G261" s="2" t="inlineStr">
        <is>
          <t>Invecchiamento</t>
        </is>
      </c>
      <c r="H261" s="2" t="inlineStr">
        <is>
          <t>dementi, alzheimer, cognitive decline, older adults, neurodegenerat</t>
        </is>
      </c>
      <c r="I261" s="2" t="inlineStr">
        <is>
          <t>Non analizzato</t>
        </is>
      </c>
      <c r="J261" s="3" t="n"/>
      <c r="K261" s="4" t="n">
        <v>200000</v>
      </c>
      <c r="L261" s="4" t="n"/>
      <c r="M261" s="2" t="inlineStr">
        <is>
          <t>USD</t>
        </is>
      </c>
      <c r="N261" s="2" t="n"/>
      <c r="O261" s="3" t="inlineStr">
        <is>
          <t>Non stimabile – dati insufficienti</t>
        </is>
      </c>
      <c r="P261" s="3" t="inlineStr">
        <is>
          <t>Non indicato</t>
        </is>
      </c>
      <c r="Q261" s="5" t="n"/>
      <c r="R261" s="6">
        <f>IF(Q261="","",Q261-TODAY())</f>
        <v/>
      </c>
      <c r="S261" s="5" t="n"/>
      <c r="T261" s="2" t="n"/>
      <c r="U261" s="2" t="n"/>
      <c r="V261" s="3" t="n"/>
      <c r="W261" s="3" t="n"/>
      <c r="X261" s="2" t="inlineStr">
        <is>
          <t>Canada</t>
        </is>
      </c>
      <c r="Y261" s="2" t="inlineStr">
        <is>
          <t>Inglese</t>
        </is>
      </c>
      <c r="Z261" s="7" t="inlineStr">
        <is>
          <t>https://braincanada.ca/funded-grants/an-inclusive-approach-towards-developing-biomarkers-of-subjective-cognitive-decline-and-progression-to-dementia</t>
        </is>
      </c>
      <c r="AA261" s="3" t="n"/>
      <c r="AB261" s="2" t="inlineStr">
        <is>
          <t>Scadenza da verificare</t>
        </is>
      </c>
      <c r="AC261" s="5" t="n">
        <v>46312</v>
      </c>
      <c r="AD261" s="5" t="n">
        <v>46312</v>
      </c>
      <c r="AE261" s="2" t="n"/>
    </row>
    <row r="262">
      <c r="A262" s="2" t="inlineStr">
        <is>
          <t>WEB-a0ead6d80832</t>
        </is>
      </c>
      <c r="B262" s="2" t="inlineStr">
        <is>
          <t>Brain Canada</t>
        </is>
      </c>
      <c r="C262" s="2" t="inlineStr">
        <is>
          <t>Fuel for Thoughts: The effect of exercise and ketone supplementation on brain and muscle function in subjective cognitive decline</t>
        </is>
      </c>
      <c r="D262" s="2" t="inlineStr">
        <is>
          <t>Brain Canada</t>
        </is>
      </c>
      <c r="E262" s="3" t="inlineStr">
        <is>
          <t>Fuel for Thoughts: The effect of exercise and ketone supplementation on brain and muscle function in subjective cognitive decline</t>
        </is>
      </c>
      <c r="F262" s="3" t="inlineStr">
        <is>
          <t>Fuel for Thoughts: The effect of exercise and ketone supplementation on brain and muscle function in subjective cognitive decline</t>
        </is>
      </c>
      <c r="G262" s="2" t="inlineStr">
        <is>
          <t>Invecchiamento</t>
        </is>
      </c>
      <c r="H262" s="2" t="inlineStr">
        <is>
          <t>dementi, alzheimer, cognitive decline, aging, neurodegenerat</t>
        </is>
      </c>
      <c r="I262" s="2" t="inlineStr">
        <is>
          <t>Non analizzato</t>
        </is>
      </c>
      <c r="J262" s="3" t="n"/>
      <c r="K262" s="4" t="n">
        <v>100000</v>
      </c>
      <c r="L262" s="4" t="n"/>
      <c r="M262" s="2" t="inlineStr">
        <is>
          <t>USD</t>
        </is>
      </c>
      <c r="N262" s="2" t="n"/>
      <c r="O262" s="3" t="inlineStr">
        <is>
          <t>Non stimabile – dati insufficienti</t>
        </is>
      </c>
      <c r="P262" s="3" t="inlineStr">
        <is>
          <t>Non indicato</t>
        </is>
      </c>
      <c r="Q262" s="5" t="n"/>
      <c r="R262" s="6">
        <f>IF(Q262="","",Q262-TODAY())</f>
        <v/>
      </c>
      <c r="S262" s="5" t="n"/>
      <c r="T262" s="2" t="n"/>
      <c r="U262" s="2" t="n"/>
      <c r="V262" s="3" t="n"/>
      <c r="W262" s="3" t="n"/>
      <c r="X262" s="2" t="inlineStr">
        <is>
          <t>Canada</t>
        </is>
      </c>
      <c r="Y262" s="2" t="inlineStr">
        <is>
          <t>Inglese</t>
        </is>
      </c>
      <c r="Z262" s="7" t="inlineStr">
        <is>
          <t>https://braincanada.ca/funded-grants/fuel-for-thoughts-the-effect-of-exercise-and-ketone-supplementation-on-brain-and-muscle-function-in-subjective-cognitive-decline</t>
        </is>
      </c>
      <c r="AA262" s="3" t="n"/>
      <c r="AB262" s="2" t="inlineStr">
        <is>
          <t>Scadenza da verificare</t>
        </is>
      </c>
      <c r="AC262" s="5" t="n">
        <v>46312</v>
      </c>
      <c r="AD262" s="5" t="n">
        <v>46312</v>
      </c>
      <c r="AE262" s="2" t="n"/>
    </row>
    <row r="263">
      <c r="A263" s="2" t="inlineStr">
        <is>
          <t>WEB-8dd2c47bc95e</t>
        </is>
      </c>
      <c r="B263" s="2" t="inlineStr">
        <is>
          <t>Brain Canada</t>
        </is>
      </c>
      <c r="C263" s="2" t="inlineStr">
        <is>
          <t>Music-Based Interventions to Engage Memory in Individuals Living with Dementia</t>
        </is>
      </c>
      <c r="D263" s="2" t="inlineStr">
        <is>
          <t>Brain Canada</t>
        </is>
      </c>
      <c r="E263" s="3" t="inlineStr">
        <is>
          <t>Music-Based Interventions to Engage Memory in Individuals Living with Dementia</t>
        </is>
      </c>
      <c r="F263" s="3" t="inlineStr">
        <is>
          <t>Music-Based Interventions to Engage Memory in Individuals Living with Dementia</t>
        </is>
      </c>
      <c r="G263" s="2" t="inlineStr">
        <is>
          <t>Invecchiamento</t>
        </is>
      </c>
      <c r="H263" s="2" t="inlineStr">
        <is>
          <t>dementi, alzheimer, neurodegenerat</t>
        </is>
      </c>
      <c r="I263" s="2" t="inlineStr">
        <is>
          <t>Non analizzato</t>
        </is>
      </c>
      <c r="J263" s="3" t="n"/>
      <c r="K263" s="4" t="n">
        <v>100000</v>
      </c>
      <c r="L263" s="4" t="n"/>
      <c r="M263" s="2" t="inlineStr">
        <is>
          <t>USD</t>
        </is>
      </c>
      <c r="N263" s="2" t="n"/>
      <c r="O263" s="3" t="inlineStr">
        <is>
          <t>Non stimabile – dati insufficienti</t>
        </is>
      </c>
      <c r="P263" s="3" t="inlineStr">
        <is>
          <t>Non indicato</t>
        </is>
      </c>
      <c r="Q263" s="5" t="n"/>
      <c r="R263" s="6">
        <f>IF(Q263="","",Q263-TODAY())</f>
        <v/>
      </c>
      <c r="S263" s="5" t="n"/>
      <c r="T263" s="2" t="n"/>
      <c r="U263" s="2" t="n"/>
      <c r="V263" s="3" t="n"/>
      <c r="W263" s="3" t="n"/>
      <c r="X263" s="2" t="inlineStr">
        <is>
          <t>Canada</t>
        </is>
      </c>
      <c r="Y263" s="2" t="inlineStr">
        <is>
          <t>Inglese</t>
        </is>
      </c>
      <c r="Z263" s="7" t="inlineStr">
        <is>
          <t>https://braincanada.ca/funded-grants/music-based-interventions-to-engage-memory-in-individuals-living-with-dementia</t>
        </is>
      </c>
      <c r="AA263" s="3" t="n"/>
      <c r="AB263" s="2" t="inlineStr">
        <is>
          <t>Scadenza da verificare</t>
        </is>
      </c>
      <c r="AC263" s="5" t="n">
        <v>46312</v>
      </c>
      <c r="AD263" s="5" t="n">
        <v>46312</v>
      </c>
      <c r="AE263" s="2" t="n"/>
    </row>
    <row r="264">
      <c r="A264" s="2" t="inlineStr">
        <is>
          <t>WEB-4e64a8c55083</t>
        </is>
      </c>
      <c r="B264" s="2" t="inlineStr">
        <is>
          <t>Brain Canada</t>
        </is>
      </c>
      <c r="C264" s="2" t="inlineStr">
        <is>
          <t>ALS and Medical Assistance in Dying</t>
        </is>
      </c>
      <c r="D264" s="2" t="inlineStr">
        <is>
          <t>Brain Canada</t>
        </is>
      </c>
      <c r="E264" s="3" t="inlineStr">
        <is>
          <t>ALS and Medical Assistance in Dying</t>
        </is>
      </c>
      <c r="F264" s="3" t="inlineStr">
        <is>
          <t>ALS and Medical Assistance in Dying</t>
        </is>
      </c>
      <c r="G264" s="2" t="inlineStr">
        <is>
          <t>Invecchiamento</t>
        </is>
      </c>
      <c r="H264" s="2" t="inlineStr">
        <is>
          <t>neurodegenerat</t>
        </is>
      </c>
      <c r="I264" s="2" t="inlineStr">
        <is>
          <t>Non analizzato</t>
        </is>
      </c>
      <c r="J264" s="3" t="n"/>
      <c r="K264" s="4" t="n">
        <v>100000</v>
      </c>
      <c r="L264" s="4" t="n"/>
      <c r="M264" s="2" t="inlineStr">
        <is>
          <t>USD</t>
        </is>
      </c>
      <c r="N264" s="2" t="n"/>
      <c r="O264" s="3" t="inlineStr">
        <is>
          <t>Non stimabile – dati insufficienti</t>
        </is>
      </c>
      <c r="P264" s="3" t="inlineStr">
        <is>
          <t>Non indicato</t>
        </is>
      </c>
      <c r="Q264" s="5" t="n"/>
      <c r="R264" s="6">
        <f>IF(Q264="","",Q264-TODAY())</f>
        <v/>
      </c>
      <c r="S264" s="5" t="n"/>
      <c r="T264" s="2" t="n"/>
      <c r="U264" s="2" t="n"/>
      <c r="V264" s="3" t="n"/>
      <c r="W264" s="3" t="n"/>
      <c r="X264" s="2" t="inlineStr">
        <is>
          <t>Canada</t>
        </is>
      </c>
      <c r="Y264" s="2" t="inlineStr">
        <is>
          <t>Inglese</t>
        </is>
      </c>
      <c r="Z264" s="7" t="inlineStr">
        <is>
          <t>https://braincanada.ca/funded-grants/als-and-medical-assistance-in-dying</t>
        </is>
      </c>
      <c r="AA264" s="3" t="n"/>
      <c r="AB264" s="2" t="inlineStr">
        <is>
          <t>Scadenza da verificare</t>
        </is>
      </c>
      <c r="AC264" s="5" t="n">
        <v>46312</v>
      </c>
      <c r="AD264" s="5" t="n">
        <v>46312</v>
      </c>
      <c r="AE264" s="2" t="n"/>
    </row>
    <row r="265">
      <c r="A265" s="2" t="inlineStr">
        <is>
          <t>WEB-890640ec53cd</t>
        </is>
      </c>
      <c r="B265" s="2" t="inlineStr">
        <is>
          <t>Brain Canada</t>
        </is>
      </c>
      <c r="C265" s="2" t="inlineStr">
        <is>
          <t>Telomerase Reverse Transcriptase as a Neuroprotective Factor in Progressive Multiple Sclerosis</t>
        </is>
      </c>
      <c r="D265" s="2" t="inlineStr">
        <is>
          <t>Brain Canada</t>
        </is>
      </c>
      <c r="E265" s="3" t="inlineStr">
        <is>
          <t>Telomerase Reverse Transcriptase as a Neuroprotective Factor in Progressive Multiple Sclerosis</t>
        </is>
      </c>
      <c r="F265" s="3" t="inlineStr">
        <is>
          <t>Telomerase Reverse Transcriptase as a Neuroprotective Factor in Progressive Multiple Sclerosis</t>
        </is>
      </c>
      <c r="G265" s="2" t="inlineStr">
        <is>
          <t>Invecchiamento</t>
        </is>
      </c>
      <c r="H265" s="2" t="inlineStr">
        <is>
          <t>neurodegenerat, disabilit</t>
        </is>
      </c>
      <c r="I265" s="2" t="inlineStr">
        <is>
          <t>Non analizzato</t>
        </is>
      </c>
      <c r="J265" s="3" t="n"/>
      <c r="K265" s="4" t="n">
        <v>100000</v>
      </c>
      <c r="L265" s="4" t="n"/>
      <c r="M265" s="2" t="inlineStr">
        <is>
          <t>USD</t>
        </is>
      </c>
      <c r="N265" s="2" t="n"/>
      <c r="O265" s="3" t="inlineStr">
        <is>
          <t>Non stimabile – dati insufficienti</t>
        </is>
      </c>
      <c r="P265" s="3" t="inlineStr">
        <is>
          <t>Non indicato</t>
        </is>
      </c>
      <c r="Q265" s="5" t="n"/>
      <c r="R265" s="6">
        <f>IF(Q265="","",Q265-TODAY())</f>
        <v/>
      </c>
      <c r="S265" s="5" t="n"/>
      <c r="T265" s="2" t="n"/>
      <c r="U265" s="2" t="n"/>
      <c r="V265" s="3" t="n"/>
      <c r="W265" s="3" t="n"/>
      <c r="X265" s="2" t="inlineStr">
        <is>
          <t>Canada</t>
        </is>
      </c>
      <c r="Y265" s="2" t="inlineStr">
        <is>
          <t>Inglese</t>
        </is>
      </c>
      <c r="Z265" s="7" t="inlineStr">
        <is>
          <t>https://braincanada.ca/funded-grants/telomerase-reverse-transcriptase-as-a-neuroprotective-factor-in-progressive-multiple-sclerosis</t>
        </is>
      </c>
      <c r="AA265" s="3" t="n"/>
      <c r="AB265" s="2" t="inlineStr">
        <is>
          <t>Scadenza da verificare</t>
        </is>
      </c>
      <c r="AC265" s="5" t="n">
        <v>46312</v>
      </c>
      <c r="AD265" s="5" t="n">
        <v>46312</v>
      </c>
      <c r="AE265" s="2" t="n"/>
    </row>
    <row r="266">
      <c r="A266" s="2" t="inlineStr">
        <is>
          <t>WEB-21455809207b</t>
        </is>
      </c>
      <c r="B266" s="2" t="inlineStr">
        <is>
          <t>Brain Canada</t>
        </is>
      </c>
      <c r="C266" s="2" t="inlineStr">
        <is>
          <t>La douleur chronique, un chaînon manquant dans la prédiction du risque cérébrovasculaire</t>
        </is>
      </c>
      <c r="D266" s="2" t="inlineStr">
        <is>
          <t>Brain Canada</t>
        </is>
      </c>
      <c r="E266" s="3" t="inlineStr">
        <is>
          <t>La douleur chronique, un chaînon manquant dans la prédiction du risque cérébrovasculaire</t>
        </is>
      </c>
      <c r="F266" s="3" t="inlineStr">
        <is>
          <t>La douleur chronique, un chaînon manquant dans la prédiction du risque cérébrovasculaire</t>
        </is>
      </c>
      <c r="G266" s="2" t="inlineStr">
        <is>
          <t>Ictus</t>
        </is>
      </c>
      <c r="H266" s="2" t="inlineStr">
        <is>
          <t>stroke, cerebrovascula</t>
        </is>
      </c>
      <c r="I266" s="2" t="inlineStr">
        <is>
          <t>Non analizzato</t>
        </is>
      </c>
      <c r="J266" s="3" t="n"/>
      <c r="K266" s="4" t="n">
        <v>100000</v>
      </c>
      <c r="L266" s="4" t="n"/>
      <c r="M266" s="2" t="inlineStr">
        <is>
          <t>USD</t>
        </is>
      </c>
      <c r="N266" s="2" t="n"/>
      <c r="O266" s="3" t="inlineStr">
        <is>
          <t>Non stimabile – dati insufficienti</t>
        </is>
      </c>
      <c r="P266" s="3" t="inlineStr">
        <is>
          <t>Non indicato</t>
        </is>
      </c>
      <c r="Q266" s="5" t="n"/>
      <c r="R266" s="6">
        <f>IF(Q266="","",Q266-TODAY())</f>
        <v/>
      </c>
      <c r="S266" s="5" t="n"/>
      <c r="T266" s="2" t="n"/>
      <c r="U266" s="2" t="n"/>
      <c r="V266" s="3" t="n"/>
      <c r="W266" s="3" t="n"/>
      <c r="X266" s="2" t="inlineStr">
        <is>
          <t>Canada</t>
        </is>
      </c>
      <c r="Y266" s="2" t="inlineStr">
        <is>
          <t>Inglese</t>
        </is>
      </c>
      <c r="Z266" s="7" t="inlineStr">
        <is>
          <t>https://braincanada.ca/funded-grants/la-douleur-chronique-un-chaînon-manquant-dans-la-prédiction-du-risque-cérébrovasculaire</t>
        </is>
      </c>
      <c r="AA266" s="3" t="n"/>
      <c r="AB266" s="2" t="inlineStr">
        <is>
          <t>Scadenza da verificare</t>
        </is>
      </c>
      <c r="AC266" s="5" t="n">
        <v>46312</v>
      </c>
      <c r="AD266" s="5" t="n">
        <v>46312</v>
      </c>
      <c r="AE266" s="2" t="n"/>
    </row>
    <row r="267">
      <c r="A267" s="2" t="inlineStr">
        <is>
          <t>WEB-8b08f4b95c82</t>
        </is>
      </c>
      <c r="B267" s="2" t="inlineStr">
        <is>
          <t>Brain Canada</t>
        </is>
      </c>
      <c r="C267" s="2" t="inlineStr">
        <is>
          <t>Counteracting Refractory Alcohol-Use-Disorder Via Electrostimulation (CRAVE): Deep Brain Stimulation for Treatment-Refractory Alcohol Use Disorder</t>
        </is>
      </c>
      <c r="D267" s="2" t="inlineStr">
        <is>
          <t>Brain Canada</t>
        </is>
      </c>
      <c r="E267" s="3" t="inlineStr">
        <is>
          <t>Counteracting Refractory Alcohol-Use-Disorder Via Electrostimulation (CRAVE): Deep Brain Stimulation for Treatment-Refractory Alcohol Use Disorder</t>
        </is>
      </c>
      <c r="F267" s="3" t="inlineStr">
        <is>
          <t>Counteracting Refractory Alcohol-Use-Disorder Via Electrostimulation (CRAVE): Deep Brain Stimulation for Treatment-Refractory Alcohol Use Disorder</t>
        </is>
      </c>
      <c r="G267" s="2" t="inlineStr">
        <is>
          <t>Parkinson</t>
        </is>
      </c>
      <c r="H267" s="2" t="inlineStr">
        <is>
          <t>deep brain stimulation</t>
        </is>
      </c>
      <c r="I267" s="2" t="inlineStr">
        <is>
          <t>Non analizzato</t>
        </is>
      </c>
      <c r="J267" s="3" t="n"/>
      <c r="K267" s="4" t="n">
        <v>100000</v>
      </c>
      <c r="L267" s="4" t="n"/>
      <c r="M267" s="2" t="inlineStr">
        <is>
          <t>USD</t>
        </is>
      </c>
      <c r="N267" s="2" t="n"/>
      <c r="O267" s="3" t="inlineStr">
        <is>
          <t>Non stimabile – dati insufficienti</t>
        </is>
      </c>
      <c r="P267" s="3" t="inlineStr">
        <is>
          <t>Non indicato</t>
        </is>
      </c>
      <c r="Q267" s="5" t="n"/>
      <c r="R267" s="6">
        <f>IF(Q267="","",Q267-TODAY())</f>
        <v/>
      </c>
      <c r="S267" s="5" t="n"/>
      <c r="T267" s="2" t="n"/>
      <c r="U267" s="2" t="n"/>
      <c r="V267" s="3" t="n"/>
      <c r="W267" s="3" t="n"/>
      <c r="X267" s="2" t="inlineStr">
        <is>
          <t>Canada</t>
        </is>
      </c>
      <c r="Y267" s="2" t="inlineStr">
        <is>
          <t>Inglese</t>
        </is>
      </c>
      <c r="Z267" s="7" t="inlineStr">
        <is>
          <t>https://braincanada.ca/funded-grants/counteracting-refractory-alcohol-use-disorder-via-electrostimulation-crave-deep-brain-stimulation-for-treatment-refractory-alcohol-use-disorder</t>
        </is>
      </c>
      <c r="AA267" s="3" t="n"/>
      <c r="AB267" s="2" t="inlineStr">
        <is>
          <t>Scadenza da verificare</t>
        </is>
      </c>
      <c r="AC267" s="5" t="n">
        <v>46312</v>
      </c>
      <c r="AD267" s="5" t="n">
        <v>46312</v>
      </c>
      <c r="AE267" s="2" t="n"/>
    </row>
  </sheetData>
  <autoFilter ref="A1:AE267"/>
  <conditionalFormatting sqref="R2:R267">
    <cfRule type="cellIs" priority="1" operator="between" dxfId="0">
      <formula>0</formula>
      <formula>30</formula>
    </cfRule>
  </conditionalFormatting>
  <hyperlinks>
    <hyperlink xmlns:r="http://schemas.openxmlformats.org/officeDocument/2006/relationships" ref="Z2" r:id="rId1"/>
    <hyperlink xmlns:r="http://schemas.openxmlformats.org/officeDocument/2006/relationships" ref="Z3" r:id="rId2"/>
    <hyperlink xmlns:r="http://schemas.openxmlformats.org/officeDocument/2006/relationships" ref="Z4" r:id="rId3"/>
    <hyperlink xmlns:r="http://schemas.openxmlformats.org/officeDocument/2006/relationships" ref="Z5" r:id="rId4"/>
    <hyperlink xmlns:r="http://schemas.openxmlformats.org/officeDocument/2006/relationships" ref="Z6" r:id="rId5"/>
    <hyperlink xmlns:r="http://schemas.openxmlformats.org/officeDocument/2006/relationships" ref="Z7" r:id="rId6"/>
    <hyperlink xmlns:r="http://schemas.openxmlformats.org/officeDocument/2006/relationships" ref="Z8" r:id="rId7"/>
    <hyperlink xmlns:r="http://schemas.openxmlformats.org/officeDocument/2006/relationships" ref="Z9" r:id="rId8"/>
    <hyperlink xmlns:r="http://schemas.openxmlformats.org/officeDocument/2006/relationships" ref="Z10" r:id="rId9"/>
    <hyperlink xmlns:r="http://schemas.openxmlformats.org/officeDocument/2006/relationships" ref="Z11" r:id="rId10"/>
    <hyperlink xmlns:r="http://schemas.openxmlformats.org/officeDocument/2006/relationships" ref="Z12" r:id="rId11"/>
    <hyperlink xmlns:r="http://schemas.openxmlformats.org/officeDocument/2006/relationships" ref="Z13" r:id="rId12"/>
    <hyperlink xmlns:r="http://schemas.openxmlformats.org/officeDocument/2006/relationships" ref="Z14" r:id="rId13"/>
    <hyperlink xmlns:r="http://schemas.openxmlformats.org/officeDocument/2006/relationships" ref="Z15" r:id="rId14"/>
    <hyperlink xmlns:r="http://schemas.openxmlformats.org/officeDocument/2006/relationships" ref="Z16" r:id="rId15"/>
    <hyperlink xmlns:r="http://schemas.openxmlformats.org/officeDocument/2006/relationships" ref="Z17" r:id="rId16"/>
    <hyperlink xmlns:r="http://schemas.openxmlformats.org/officeDocument/2006/relationships" ref="Z18" r:id="rId17"/>
    <hyperlink xmlns:r="http://schemas.openxmlformats.org/officeDocument/2006/relationships" ref="Z19" r:id="rId18"/>
    <hyperlink xmlns:r="http://schemas.openxmlformats.org/officeDocument/2006/relationships" ref="Z20" r:id="rId19"/>
    <hyperlink xmlns:r="http://schemas.openxmlformats.org/officeDocument/2006/relationships" ref="Z21" r:id="rId20"/>
    <hyperlink xmlns:r="http://schemas.openxmlformats.org/officeDocument/2006/relationships" ref="Z22" r:id="rId21"/>
    <hyperlink xmlns:r="http://schemas.openxmlformats.org/officeDocument/2006/relationships" ref="Z23" r:id="rId22"/>
    <hyperlink xmlns:r="http://schemas.openxmlformats.org/officeDocument/2006/relationships" ref="Z24" r:id="rId23"/>
    <hyperlink xmlns:r="http://schemas.openxmlformats.org/officeDocument/2006/relationships" ref="Z25" r:id="rId24"/>
    <hyperlink xmlns:r="http://schemas.openxmlformats.org/officeDocument/2006/relationships" ref="Z26" r:id="rId25"/>
    <hyperlink xmlns:r="http://schemas.openxmlformats.org/officeDocument/2006/relationships" ref="Z27" r:id="rId26"/>
    <hyperlink xmlns:r="http://schemas.openxmlformats.org/officeDocument/2006/relationships" ref="Z28" r:id="rId27"/>
    <hyperlink xmlns:r="http://schemas.openxmlformats.org/officeDocument/2006/relationships" ref="Z29" r:id="rId28"/>
    <hyperlink xmlns:r="http://schemas.openxmlformats.org/officeDocument/2006/relationships" ref="Z30" r:id="rId29"/>
    <hyperlink xmlns:r="http://schemas.openxmlformats.org/officeDocument/2006/relationships" ref="Z31" r:id="rId30"/>
    <hyperlink xmlns:r="http://schemas.openxmlformats.org/officeDocument/2006/relationships" ref="Z32" r:id="rId31"/>
    <hyperlink xmlns:r="http://schemas.openxmlformats.org/officeDocument/2006/relationships" ref="Z33" r:id="rId32"/>
    <hyperlink xmlns:r="http://schemas.openxmlformats.org/officeDocument/2006/relationships" ref="Z34" r:id="rId33"/>
    <hyperlink xmlns:r="http://schemas.openxmlformats.org/officeDocument/2006/relationships" ref="Z35" r:id="rId34"/>
    <hyperlink xmlns:r="http://schemas.openxmlformats.org/officeDocument/2006/relationships" ref="Z36" r:id="rId35"/>
    <hyperlink xmlns:r="http://schemas.openxmlformats.org/officeDocument/2006/relationships" ref="Z37" r:id="rId36"/>
    <hyperlink xmlns:r="http://schemas.openxmlformats.org/officeDocument/2006/relationships" ref="Z38" r:id="rId37"/>
    <hyperlink xmlns:r="http://schemas.openxmlformats.org/officeDocument/2006/relationships" ref="Z39" r:id="rId38"/>
    <hyperlink xmlns:r="http://schemas.openxmlformats.org/officeDocument/2006/relationships" ref="Z40" r:id="rId39"/>
    <hyperlink xmlns:r="http://schemas.openxmlformats.org/officeDocument/2006/relationships" ref="Z41" r:id="rId40"/>
    <hyperlink xmlns:r="http://schemas.openxmlformats.org/officeDocument/2006/relationships" ref="Z42" r:id="rId41"/>
    <hyperlink xmlns:r="http://schemas.openxmlformats.org/officeDocument/2006/relationships" ref="Z43" r:id="rId42"/>
    <hyperlink xmlns:r="http://schemas.openxmlformats.org/officeDocument/2006/relationships" ref="Z44" r:id="rId43"/>
    <hyperlink xmlns:r="http://schemas.openxmlformats.org/officeDocument/2006/relationships" ref="Z45" r:id="rId44"/>
    <hyperlink xmlns:r="http://schemas.openxmlformats.org/officeDocument/2006/relationships" ref="Z46" r:id="rId45"/>
    <hyperlink xmlns:r="http://schemas.openxmlformats.org/officeDocument/2006/relationships" ref="Z47" r:id="rId46"/>
    <hyperlink xmlns:r="http://schemas.openxmlformats.org/officeDocument/2006/relationships" ref="Z48" r:id="rId47"/>
    <hyperlink xmlns:r="http://schemas.openxmlformats.org/officeDocument/2006/relationships" ref="Z49" r:id="rId48"/>
    <hyperlink xmlns:r="http://schemas.openxmlformats.org/officeDocument/2006/relationships" ref="Z50" r:id="rId49"/>
    <hyperlink xmlns:r="http://schemas.openxmlformats.org/officeDocument/2006/relationships" ref="Z51" r:id="rId50"/>
    <hyperlink xmlns:r="http://schemas.openxmlformats.org/officeDocument/2006/relationships" ref="Z52" r:id="rId51"/>
    <hyperlink xmlns:r="http://schemas.openxmlformats.org/officeDocument/2006/relationships" ref="Z53" r:id="rId52"/>
    <hyperlink xmlns:r="http://schemas.openxmlformats.org/officeDocument/2006/relationships" ref="Z54" r:id="rId53"/>
    <hyperlink xmlns:r="http://schemas.openxmlformats.org/officeDocument/2006/relationships" ref="Z55" r:id="rId54"/>
    <hyperlink xmlns:r="http://schemas.openxmlformats.org/officeDocument/2006/relationships" ref="Z56" r:id="rId55"/>
    <hyperlink xmlns:r="http://schemas.openxmlformats.org/officeDocument/2006/relationships" ref="Z57" r:id="rId56"/>
    <hyperlink xmlns:r="http://schemas.openxmlformats.org/officeDocument/2006/relationships" ref="Z58" r:id="rId57"/>
    <hyperlink xmlns:r="http://schemas.openxmlformats.org/officeDocument/2006/relationships" ref="Z59" r:id="rId58"/>
    <hyperlink xmlns:r="http://schemas.openxmlformats.org/officeDocument/2006/relationships" ref="Z60" r:id="rId59"/>
    <hyperlink xmlns:r="http://schemas.openxmlformats.org/officeDocument/2006/relationships" ref="Z61" r:id="rId60"/>
    <hyperlink xmlns:r="http://schemas.openxmlformats.org/officeDocument/2006/relationships" ref="Z62" r:id="rId61"/>
    <hyperlink xmlns:r="http://schemas.openxmlformats.org/officeDocument/2006/relationships" ref="Z63" r:id="rId62"/>
    <hyperlink xmlns:r="http://schemas.openxmlformats.org/officeDocument/2006/relationships" ref="Z64" r:id="rId63"/>
    <hyperlink xmlns:r="http://schemas.openxmlformats.org/officeDocument/2006/relationships" ref="Z65" r:id="rId64"/>
    <hyperlink xmlns:r="http://schemas.openxmlformats.org/officeDocument/2006/relationships" ref="Z66" r:id="rId65"/>
    <hyperlink xmlns:r="http://schemas.openxmlformats.org/officeDocument/2006/relationships" ref="Z67" r:id="rId66"/>
    <hyperlink xmlns:r="http://schemas.openxmlformats.org/officeDocument/2006/relationships" ref="Z68" r:id="rId67"/>
    <hyperlink xmlns:r="http://schemas.openxmlformats.org/officeDocument/2006/relationships" ref="Z69" r:id="rId68"/>
    <hyperlink xmlns:r="http://schemas.openxmlformats.org/officeDocument/2006/relationships" ref="Z70" r:id="rId69"/>
    <hyperlink xmlns:r="http://schemas.openxmlformats.org/officeDocument/2006/relationships" ref="Z71" r:id="rId70"/>
    <hyperlink xmlns:r="http://schemas.openxmlformats.org/officeDocument/2006/relationships" ref="Z72" r:id="rId71"/>
    <hyperlink xmlns:r="http://schemas.openxmlformats.org/officeDocument/2006/relationships" ref="Z73" r:id="rId72"/>
    <hyperlink xmlns:r="http://schemas.openxmlformats.org/officeDocument/2006/relationships" ref="Z74" r:id="rId73"/>
    <hyperlink xmlns:r="http://schemas.openxmlformats.org/officeDocument/2006/relationships" ref="Z75" r:id="rId74"/>
    <hyperlink xmlns:r="http://schemas.openxmlformats.org/officeDocument/2006/relationships" ref="Z76" r:id="rId75"/>
    <hyperlink xmlns:r="http://schemas.openxmlformats.org/officeDocument/2006/relationships" ref="Z77" r:id="rId76"/>
    <hyperlink xmlns:r="http://schemas.openxmlformats.org/officeDocument/2006/relationships" ref="Z78" r:id="rId77"/>
    <hyperlink xmlns:r="http://schemas.openxmlformats.org/officeDocument/2006/relationships" ref="Z79" r:id="rId78"/>
    <hyperlink xmlns:r="http://schemas.openxmlformats.org/officeDocument/2006/relationships" ref="Z80" r:id="rId79"/>
    <hyperlink xmlns:r="http://schemas.openxmlformats.org/officeDocument/2006/relationships" ref="Z81" r:id="rId80"/>
    <hyperlink xmlns:r="http://schemas.openxmlformats.org/officeDocument/2006/relationships" ref="Z82" r:id="rId81"/>
    <hyperlink xmlns:r="http://schemas.openxmlformats.org/officeDocument/2006/relationships" ref="Z83" r:id="rId82"/>
    <hyperlink xmlns:r="http://schemas.openxmlformats.org/officeDocument/2006/relationships" ref="Z84" r:id="rId83"/>
    <hyperlink xmlns:r="http://schemas.openxmlformats.org/officeDocument/2006/relationships" ref="Z85" r:id="rId84"/>
    <hyperlink xmlns:r="http://schemas.openxmlformats.org/officeDocument/2006/relationships" ref="Z86" r:id="rId85"/>
    <hyperlink xmlns:r="http://schemas.openxmlformats.org/officeDocument/2006/relationships" ref="Z87" r:id="rId86"/>
    <hyperlink xmlns:r="http://schemas.openxmlformats.org/officeDocument/2006/relationships" ref="Z88" r:id="rId87"/>
    <hyperlink xmlns:r="http://schemas.openxmlformats.org/officeDocument/2006/relationships" ref="Z89" r:id="rId88"/>
    <hyperlink xmlns:r="http://schemas.openxmlformats.org/officeDocument/2006/relationships" ref="Z90" r:id="rId89"/>
    <hyperlink xmlns:r="http://schemas.openxmlformats.org/officeDocument/2006/relationships" ref="Z91" r:id="rId90"/>
    <hyperlink xmlns:r="http://schemas.openxmlformats.org/officeDocument/2006/relationships" ref="Z92" r:id="rId91"/>
    <hyperlink xmlns:r="http://schemas.openxmlformats.org/officeDocument/2006/relationships" ref="Z93" r:id="rId92"/>
    <hyperlink xmlns:r="http://schemas.openxmlformats.org/officeDocument/2006/relationships" ref="Z94" r:id="rId93"/>
    <hyperlink xmlns:r="http://schemas.openxmlformats.org/officeDocument/2006/relationships" ref="Z95" r:id="rId94"/>
    <hyperlink xmlns:r="http://schemas.openxmlformats.org/officeDocument/2006/relationships" ref="Z96" r:id="rId95"/>
    <hyperlink xmlns:r="http://schemas.openxmlformats.org/officeDocument/2006/relationships" ref="Z97" r:id="rId96"/>
    <hyperlink xmlns:r="http://schemas.openxmlformats.org/officeDocument/2006/relationships" ref="Z98" r:id="rId97"/>
    <hyperlink xmlns:r="http://schemas.openxmlformats.org/officeDocument/2006/relationships" ref="Z99" r:id="rId98"/>
    <hyperlink xmlns:r="http://schemas.openxmlformats.org/officeDocument/2006/relationships" ref="Z100" r:id="rId99"/>
    <hyperlink xmlns:r="http://schemas.openxmlformats.org/officeDocument/2006/relationships" ref="Z101" r:id="rId100"/>
    <hyperlink xmlns:r="http://schemas.openxmlformats.org/officeDocument/2006/relationships" ref="Z102" r:id="rId101"/>
    <hyperlink xmlns:r="http://schemas.openxmlformats.org/officeDocument/2006/relationships" ref="Z103" r:id="rId102"/>
    <hyperlink xmlns:r="http://schemas.openxmlformats.org/officeDocument/2006/relationships" ref="Z104" r:id="rId103"/>
    <hyperlink xmlns:r="http://schemas.openxmlformats.org/officeDocument/2006/relationships" ref="Z105" r:id="rId104"/>
    <hyperlink xmlns:r="http://schemas.openxmlformats.org/officeDocument/2006/relationships" ref="Z106" r:id="rId105"/>
    <hyperlink xmlns:r="http://schemas.openxmlformats.org/officeDocument/2006/relationships" ref="Z107" r:id="rId106"/>
    <hyperlink xmlns:r="http://schemas.openxmlformats.org/officeDocument/2006/relationships" ref="Z108" r:id="rId107"/>
    <hyperlink xmlns:r="http://schemas.openxmlformats.org/officeDocument/2006/relationships" ref="Z109" r:id="rId108"/>
    <hyperlink xmlns:r="http://schemas.openxmlformats.org/officeDocument/2006/relationships" ref="Z110" r:id="rId109"/>
    <hyperlink xmlns:r="http://schemas.openxmlformats.org/officeDocument/2006/relationships" ref="Z111" r:id="rId110"/>
    <hyperlink xmlns:r="http://schemas.openxmlformats.org/officeDocument/2006/relationships" ref="Z112" r:id="rId111"/>
    <hyperlink xmlns:r="http://schemas.openxmlformats.org/officeDocument/2006/relationships" ref="Z113" r:id="rId112"/>
    <hyperlink xmlns:r="http://schemas.openxmlformats.org/officeDocument/2006/relationships" ref="Z114" r:id="rId113"/>
    <hyperlink xmlns:r="http://schemas.openxmlformats.org/officeDocument/2006/relationships" ref="Z115" r:id="rId114"/>
    <hyperlink xmlns:r="http://schemas.openxmlformats.org/officeDocument/2006/relationships" ref="Z116" r:id="rId115"/>
    <hyperlink xmlns:r="http://schemas.openxmlformats.org/officeDocument/2006/relationships" ref="Z117" r:id="rId116"/>
    <hyperlink xmlns:r="http://schemas.openxmlformats.org/officeDocument/2006/relationships" ref="Z118" r:id="rId117"/>
    <hyperlink xmlns:r="http://schemas.openxmlformats.org/officeDocument/2006/relationships" ref="Z119" r:id="rId118"/>
    <hyperlink xmlns:r="http://schemas.openxmlformats.org/officeDocument/2006/relationships" ref="Z120" r:id="rId119"/>
    <hyperlink xmlns:r="http://schemas.openxmlformats.org/officeDocument/2006/relationships" ref="Z121" r:id="rId120"/>
    <hyperlink xmlns:r="http://schemas.openxmlformats.org/officeDocument/2006/relationships" ref="Z122" r:id="rId121"/>
    <hyperlink xmlns:r="http://schemas.openxmlformats.org/officeDocument/2006/relationships" ref="Z123" r:id="rId122"/>
    <hyperlink xmlns:r="http://schemas.openxmlformats.org/officeDocument/2006/relationships" ref="Z124" r:id="rId123"/>
    <hyperlink xmlns:r="http://schemas.openxmlformats.org/officeDocument/2006/relationships" ref="Z125" r:id="rId124"/>
    <hyperlink xmlns:r="http://schemas.openxmlformats.org/officeDocument/2006/relationships" ref="Z126" r:id="rId125"/>
    <hyperlink xmlns:r="http://schemas.openxmlformats.org/officeDocument/2006/relationships" ref="Z127" r:id="rId126"/>
    <hyperlink xmlns:r="http://schemas.openxmlformats.org/officeDocument/2006/relationships" ref="Z128" r:id="rId127"/>
    <hyperlink xmlns:r="http://schemas.openxmlformats.org/officeDocument/2006/relationships" ref="Z129" r:id="rId128"/>
    <hyperlink xmlns:r="http://schemas.openxmlformats.org/officeDocument/2006/relationships" ref="Z130" r:id="rId129"/>
    <hyperlink xmlns:r="http://schemas.openxmlformats.org/officeDocument/2006/relationships" ref="Z131" r:id="rId130"/>
    <hyperlink xmlns:r="http://schemas.openxmlformats.org/officeDocument/2006/relationships" ref="Z132" r:id="rId131"/>
    <hyperlink xmlns:r="http://schemas.openxmlformats.org/officeDocument/2006/relationships" ref="Z133" r:id="rId132"/>
    <hyperlink xmlns:r="http://schemas.openxmlformats.org/officeDocument/2006/relationships" ref="Z134" r:id="rId133"/>
    <hyperlink xmlns:r="http://schemas.openxmlformats.org/officeDocument/2006/relationships" ref="Z135" r:id="rId134"/>
    <hyperlink xmlns:r="http://schemas.openxmlformats.org/officeDocument/2006/relationships" ref="Z136" r:id="rId135"/>
    <hyperlink xmlns:r="http://schemas.openxmlformats.org/officeDocument/2006/relationships" ref="Z137" r:id="rId136"/>
    <hyperlink xmlns:r="http://schemas.openxmlformats.org/officeDocument/2006/relationships" ref="Z138" r:id="rId137"/>
    <hyperlink xmlns:r="http://schemas.openxmlformats.org/officeDocument/2006/relationships" ref="Z139" r:id="rId138"/>
    <hyperlink xmlns:r="http://schemas.openxmlformats.org/officeDocument/2006/relationships" ref="Z140" r:id="rId139"/>
    <hyperlink xmlns:r="http://schemas.openxmlformats.org/officeDocument/2006/relationships" ref="Z141" r:id="rId140"/>
    <hyperlink xmlns:r="http://schemas.openxmlformats.org/officeDocument/2006/relationships" ref="Z142" r:id="rId141"/>
    <hyperlink xmlns:r="http://schemas.openxmlformats.org/officeDocument/2006/relationships" ref="Z143" r:id="rId142"/>
    <hyperlink xmlns:r="http://schemas.openxmlformats.org/officeDocument/2006/relationships" ref="Z144" r:id="rId143"/>
    <hyperlink xmlns:r="http://schemas.openxmlformats.org/officeDocument/2006/relationships" ref="Z145" r:id="rId144"/>
    <hyperlink xmlns:r="http://schemas.openxmlformats.org/officeDocument/2006/relationships" ref="Z146" r:id="rId145"/>
    <hyperlink xmlns:r="http://schemas.openxmlformats.org/officeDocument/2006/relationships" ref="Z147" r:id="rId146"/>
    <hyperlink xmlns:r="http://schemas.openxmlformats.org/officeDocument/2006/relationships" ref="Z148" r:id="rId147"/>
    <hyperlink xmlns:r="http://schemas.openxmlformats.org/officeDocument/2006/relationships" ref="Z149" r:id="rId148"/>
    <hyperlink xmlns:r="http://schemas.openxmlformats.org/officeDocument/2006/relationships" ref="Z150" r:id="rId149"/>
    <hyperlink xmlns:r="http://schemas.openxmlformats.org/officeDocument/2006/relationships" ref="Z151" r:id="rId150"/>
    <hyperlink xmlns:r="http://schemas.openxmlformats.org/officeDocument/2006/relationships" ref="Z152" r:id="rId151"/>
    <hyperlink xmlns:r="http://schemas.openxmlformats.org/officeDocument/2006/relationships" ref="Z153" r:id="rId152"/>
    <hyperlink xmlns:r="http://schemas.openxmlformats.org/officeDocument/2006/relationships" ref="Z154" r:id="rId153"/>
    <hyperlink xmlns:r="http://schemas.openxmlformats.org/officeDocument/2006/relationships" ref="Z155" r:id="rId154"/>
    <hyperlink xmlns:r="http://schemas.openxmlformats.org/officeDocument/2006/relationships" ref="Z156" r:id="rId155"/>
    <hyperlink xmlns:r="http://schemas.openxmlformats.org/officeDocument/2006/relationships" ref="Z157" r:id="rId156"/>
    <hyperlink xmlns:r="http://schemas.openxmlformats.org/officeDocument/2006/relationships" ref="Z158" r:id="rId157"/>
    <hyperlink xmlns:r="http://schemas.openxmlformats.org/officeDocument/2006/relationships" ref="Z159" r:id="rId158"/>
    <hyperlink xmlns:r="http://schemas.openxmlformats.org/officeDocument/2006/relationships" ref="Z160" r:id="rId159"/>
    <hyperlink xmlns:r="http://schemas.openxmlformats.org/officeDocument/2006/relationships" ref="Z161" r:id="rId160"/>
    <hyperlink xmlns:r="http://schemas.openxmlformats.org/officeDocument/2006/relationships" ref="Z162" r:id="rId161"/>
    <hyperlink xmlns:r="http://schemas.openxmlformats.org/officeDocument/2006/relationships" ref="Z163" r:id="rId162"/>
    <hyperlink xmlns:r="http://schemas.openxmlformats.org/officeDocument/2006/relationships" ref="Z164" r:id="rId163"/>
    <hyperlink xmlns:r="http://schemas.openxmlformats.org/officeDocument/2006/relationships" ref="Z165" r:id="rId164"/>
    <hyperlink xmlns:r="http://schemas.openxmlformats.org/officeDocument/2006/relationships" ref="Z166" r:id="rId165"/>
    <hyperlink xmlns:r="http://schemas.openxmlformats.org/officeDocument/2006/relationships" ref="Z167" r:id="rId166"/>
    <hyperlink xmlns:r="http://schemas.openxmlformats.org/officeDocument/2006/relationships" ref="Z168" r:id="rId167"/>
    <hyperlink xmlns:r="http://schemas.openxmlformats.org/officeDocument/2006/relationships" ref="Z169" r:id="rId168"/>
    <hyperlink xmlns:r="http://schemas.openxmlformats.org/officeDocument/2006/relationships" ref="Z170" r:id="rId169"/>
    <hyperlink xmlns:r="http://schemas.openxmlformats.org/officeDocument/2006/relationships" ref="Z171" r:id="rId170"/>
    <hyperlink xmlns:r="http://schemas.openxmlformats.org/officeDocument/2006/relationships" ref="Z172" r:id="rId171"/>
    <hyperlink xmlns:r="http://schemas.openxmlformats.org/officeDocument/2006/relationships" ref="Z173" r:id="rId172"/>
    <hyperlink xmlns:r="http://schemas.openxmlformats.org/officeDocument/2006/relationships" ref="Z174" r:id="rId173"/>
    <hyperlink xmlns:r="http://schemas.openxmlformats.org/officeDocument/2006/relationships" ref="Z175" r:id="rId174"/>
    <hyperlink xmlns:r="http://schemas.openxmlformats.org/officeDocument/2006/relationships" ref="Z176" r:id="rId175"/>
    <hyperlink xmlns:r="http://schemas.openxmlformats.org/officeDocument/2006/relationships" ref="Z177" r:id="rId176"/>
    <hyperlink xmlns:r="http://schemas.openxmlformats.org/officeDocument/2006/relationships" ref="Z178" r:id="rId177"/>
    <hyperlink xmlns:r="http://schemas.openxmlformats.org/officeDocument/2006/relationships" ref="Z179" r:id="rId178"/>
    <hyperlink xmlns:r="http://schemas.openxmlformats.org/officeDocument/2006/relationships" ref="Z180" r:id="rId179"/>
    <hyperlink xmlns:r="http://schemas.openxmlformats.org/officeDocument/2006/relationships" ref="Z181" r:id="rId180"/>
    <hyperlink xmlns:r="http://schemas.openxmlformats.org/officeDocument/2006/relationships" ref="Z182" r:id="rId181"/>
    <hyperlink xmlns:r="http://schemas.openxmlformats.org/officeDocument/2006/relationships" ref="Z183" r:id="rId182"/>
    <hyperlink xmlns:r="http://schemas.openxmlformats.org/officeDocument/2006/relationships" ref="Z184" r:id="rId183"/>
    <hyperlink xmlns:r="http://schemas.openxmlformats.org/officeDocument/2006/relationships" ref="Z185" r:id="rId184"/>
    <hyperlink xmlns:r="http://schemas.openxmlformats.org/officeDocument/2006/relationships" ref="Z186" r:id="rId185"/>
    <hyperlink xmlns:r="http://schemas.openxmlformats.org/officeDocument/2006/relationships" ref="Z187" r:id="rId186"/>
    <hyperlink xmlns:r="http://schemas.openxmlformats.org/officeDocument/2006/relationships" ref="Z188" r:id="rId187"/>
    <hyperlink xmlns:r="http://schemas.openxmlformats.org/officeDocument/2006/relationships" ref="Z189" r:id="rId188"/>
    <hyperlink xmlns:r="http://schemas.openxmlformats.org/officeDocument/2006/relationships" ref="Z190" r:id="rId189"/>
    <hyperlink xmlns:r="http://schemas.openxmlformats.org/officeDocument/2006/relationships" ref="Z191" r:id="rId190"/>
    <hyperlink xmlns:r="http://schemas.openxmlformats.org/officeDocument/2006/relationships" ref="Z192" r:id="rId191"/>
    <hyperlink xmlns:r="http://schemas.openxmlformats.org/officeDocument/2006/relationships" ref="Z193" r:id="rId192"/>
    <hyperlink xmlns:r="http://schemas.openxmlformats.org/officeDocument/2006/relationships" ref="Z194" r:id="rId193"/>
    <hyperlink xmlns:r="http://schemas.openxmlformats.org/officeDocument/2006/relationships" ref="Z195" r:id="rId194"/>
    <hyperlink xmlns:r="http://schemas.openxmlformats.org/officeDocument/2006/relationships" ref="Z196" r:id="rId195"/>
    <hyperlink xmlns:r="http://schemas.openxmlformats.org/officeDocument/2006/relationships" ref="Z197" r:id="rId196"/>
    <hyperlink xmlns:r="http://schemas.openxmlformats.org/officeDocument/2006/relationships" ref="Z198" r:id="rId197"/>
    <hyperlink xmlns:r="http://schemas.openxmlformats.org/officeDocument/2006/relationships" ref="Z199" r:id="rId198"/>
    <hyperlink xmlns:r="http://schemas.openxmlformats.org/officeDocument/2006/relationships" ref="Z200" r:id="rId199"/>
    <hyperlink xmlns:r="http://schemas.openxmlformats.org/officeDocument/2006/relationships" ref="Z201" r:id="rId200"/>
    <hyperlink xmlns:r="http://schemas.openxmlformats.org/officeDocument/2006/relationships" ref="Z202" r:id="rId201"/>
    <hyperlink xmlns:r="http://schemas.openxmlformats.org/officeDocument/2006/relationships" ref="Z203" r:id="rId202"/>
    <hyperlink xmlns:r="http://schemas.openxmlformats.org/officeDocument/2006/relationships" ref="Z204" r:id="rId203"/>
    <hyperlink xmlns:r="http://schemas.openxmlformats.org/officeDocument/2006/relationships" ref="Z205" r:id="rId204"/>
    <hyperlink xmlns:r="http://schemas.openxmlformats.org/officeDocument/2006/relationships" ref="Z206" r:id="rId205"/>
    <hyperlink xmlns:r="http://schemas.openxmlformats.org/officeDocument/2006/relationships" ref="Z207" r:id="rId206"/>
    <hyperlink xmlns:r="http://schemas.openxmlformats.org/officeDocument/2006/relationships" ref="Z208" r:id="rId207"/>
    <hyperlink xmlns:r="http://schemas.openxmlformats.org/officeDocument/2006/relationships" ref="Z209" r:id="rId208"/>
    <hyperlink xmlns:r="http://schemas.openxmlformats.org/officeDocument/2006/relationships" ref="Z210" r:id="rId209"/>
    <hyperlink xmlns:r="http://schemas.openxmlformats.org/officeDocument/2006/relationships" ref="Z211" r:id="rId210"/>
    <hyperlink xmlns:r="http://schemas.openxmlformats.org/officeDocument/2006/relationships" ref="Z212" r:id="rId211"/>
    <hyperlink xmlns:r="http://schemas.openxmlformats.org/officeDocument/2006/relationships" ref="Z213" r:id="rId212"/>
    <hyperlink xmlns:r="http://schemas.openxmlformats.org/officeDocument/2006/relationships" ref="Z214" r:id="rId213"/>
    <hyperlink xmlns:r="http://schemas.openxmlformats.org/officeDocument/2006/relationships" ref="Z215" r:id="rId214"/>
    <hyperlink xmlns:r="http://schemas.openxmlformats.org/officeDocument/2006/relationships" ref="Z216" r:id="rId215"/>
    <hyperlink xmlns:r="http://schemas.openxmlformats.org/officeDocument/2006/relationships" ref="Z217" r:id="rId216"/>
    <hyperlink xmlns:r="http://schemas.openxmlformats.org/officeDocument/2006/relationships" ref="Z218" r:id="rId217"/>
    <hyperlink xmlns:r="http://schemas.openxmlformats.org/officeDocument/2006/relationships" ref="Z219" r:id="rId218"/>
    <hyperlink xmlns:r="http://schemas.openxmlformats.org/officeDocument/2006/relationships" ref="Z220" r:id="rId219"/>
    <hyperlink xmlns:r="http://schemas.openxmlformats.org/officeDocument/2006/relationships" ref="Z221" r:id="rId220"/>
    <hyperlink xmlns:r="http://schemas.openxmlformats.org/officeDocument/2006/relationships" ref="Z222" r:id="rId221"/>
    <hyperlink xmlns:r="http://schemas.openxmlformats.org/officeDocument/2006/relationships" ref="Z223" r:id="rId222"/>
    <hyperlink xmlns:r="http://schemas.openxmlformats.org/officeDocument/2006/relationships" ref="Z224" r:id="rId223"/>
    <hyperlink xmlns:r="http://schemas.openxmlformats.org/officeDocument/2006/relationships" ref="Z225" r:id="rId224"/>
    <hyperlink xmlns:r="http://schemas.openxmlformats.org/officeDocument/2006/relationships" ref="Z226" r:id="rId225"/>
    <hyperlink xmlns:r="http://schemas.openxmlformats.org/officeDocument/2006/relationships" ref="Z227" r:id="rId226"/>
    <hyperlink xmlns:r="http://schemas.openxmlformats.org/officeDocument/2006/relationships" ref="Z228" r:id="rId227"/>
    <hyperlink xmlns:r="http://schemas.openxmlformats.org/officeDocument/2006/relationships" ref="Z229" r:id="rId228"/>
    <hyperlink xmlns:r="http://schemas.openxmlformats.org/officeDocument/2006/relationships" ref="Z230" r:id="rId229"/>
    <hyperlink xmlns:r="http://schemas.openxmlformats.org/officeDocument/2006/relationships" ref="Z231" r:id="rId230"/>
    <hyperlink xmlns:r="http://schemas.openxmlformats.org/officeDocument/2006/relationships" ref="Z232" r:id="rId231"/>
    <hyperlink xmlns:r="http://schemas.openxmlformats.org/officeDocument/2006/relationships" ref="Z233" r:id="rId232"/>
    <hyperlink xmlns:r="http://schemas.openxmlformats.org/officeDocument/2006/relationships" ref="Z234" r:id="rId233"/>
    <hyperlink xmlns:r="http://schemas.openxmlformats.org/officeDocument/2006/relationships" ref="Z235" r:id="rId234"/>
    <hyperlink xmlns:r="http://schemas.openxmlformats.org/officeDocument/2006/relationships" ref="Z236" r:id="rId235"/>
    <hyperlink xmlns:r="http://schemas.openxmlformats.org/officeDocument/2006/relationships" ref="Z237" r:id="rId236"/>
    <hyperlink xmlns:r="http://schemas.openxmlformats.org/officeDocument/2006/relationships" ref="Z238" r:id="rId237"/>
    <hyperlink xmlns:r="http://schemas.openxmlformats.org/officeDocument/2006/relationships" ref="Z239" r:id="rId238"/>
    <hyperlink xmlns:r="http://schemas.openxmlformats.org/officeDocument/2006/relationships" ref="Z240" r:id="rId239"/>
    <hyperlink xmlns:r="http://schemas.openxmlformats.org/officeDocument/2006/relationships" ref="Z241" r:id="rId240"/>
    <hyperlink xmlns:r="http://schemas.openxmlformats.org/officeDocument/2006/relationships" ref="Z242" r:id="rId241"/>
    <hyperlink xmlns:r="http://schemas.openxmlformats.org/officeDocument/2006/relationships" ref="Z243" r:id="rId242"/>
    <hyperlink xmlns:r="http://schemas.openxmlformats.org/officeDocument/2006/relationships" ref="Z244" r:id="rId243"/>
    <hyperlink xmlns:r="http://schemas.openxmlformats.org/officeDocument/2006/relationships" ref="Z245" r:id="rId244"/>
    <hyperlink xmlns:r="http://schemas.openxmlformats.org/officeDocument/2006/relationships" ref="Z246" r:id="rId245"/>
    <hyperlink xmlns:r="http://schemas.openxmlformats.org/officeDocument/2006/relationships" ref="Z247" r:id="rId246"/>
    <hyperlink xmlns:r="http://schemas.openxmlformats.org/officeDocument/2006/relationships" ref="Z248" r:id="rId247"/>
    <hyperlink xmlns:r="http://schemas.openxmlformats.org/officeDocument/2006/relationships" ref="Z249" r:id="rId248"/>
    <hyperlink xmlns:r="http://schemas.openxmlformats.org/officeDocument/2006/relationships" ref="Z250" r:id="rId249"/>
    <hyperlink xmlns:r="http://schemas.openxmlformats.org/officeDocument/2006/relationships" ref="Z251" r:id="rId250"/>
    <hyperlink xmlns:r="http://schemas.openxmlformats.org/officeDocument/2006/relationships" ref="Z252" r:id="rId251"/>
    <hyperlink xmlns:r="http://schemas.openxmlformats.org/officeDocument/2006/relationships" ref="Z253" r:id="rId252"/>
    <hyperlink xmlns:r="http://schemas.openxmlformats.org/officeDocument/2006/relationships" ref="Z254" r:id="rId253"/>
    <hyperlink xmlns:r="http://schemas.openxmlformats.org/officeDocument/2006/relationships" ref="Z255" r:id="rId254"/>
    <hyperlink xmlns:r="http://schemas.openxmlformats.org/officeDocument/2006/relationships" ref="Z256" r:id="rId255"/>
    <hyperlink xmlns:r="http://schemas.openxmlformats.org/officeDocument/2006/relationships" ref="Z257" r:id="rId256"/>
    <hyperlink xmlns:r="http://schemas.openxmlformats.org/officeDocument/2006/relationships" ref="Z258" r:id="rId257"/>
    <hyperlink xmlns:r="http://schemas.openxmlformats.org/officeDocument/2006/relationships" ref="Z259" r:id="rId258"/>
    <hyperlink xmlns:r="http://schemas.openxmlformats.org/officeDocument/2006/relationships" ref="Z260" r:id="rId259"/>
    <hyperlink xmlns:r="http://schemas.openxmlformats.org/officeDocument/2006/relationships" ref="Z261" r:id="rId260"/>
    <hyperlink xmlns:r="http://schemas.openxmlformats.org/officeDocument/2006/relationships" ref="Z262" r:id="rId261"/>
    <hyperlink xmlns:r="http://schemas.openxmlformats.org/officeDocument/2006/relationships" ref="Z263" r:id="rId262"/>
    <hyperlink xmlns:r="http://schemas.openxmlformats.org/officeDocument/2006/relationships" ref="Z264" r:id="rId263"/>
    <hyperlink xmlns:r="http://schemas.openxmlformats.org/officeDocument/2006/relationships" ref="Z265" r:id="rId264"/>
    <hyperlink xmlns:r="http://schemas.openxmlformats.org/officeDocument/2006/relationships" ref="Z266" r:id="rId265"/>
    <hyperlink xmlns:r="http://schemas.openxmlformats.org/officeDocument/2006/relationships" ref="Z267" r:id="rId266"/>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I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22" customWidth="1" min="3" max="3"/>
    <col width="22" customWidth="1" min="4" max="4"/>
    <col width="45" customWidth="1" min="5" max="5"/>
    <col width="20" customWidth="1" min="6" max="6"/>
    <col width="14" customWidth="1" min="7" max="7"/>
    <col width="14" customWidth="1" min="8" max="8"/>
    <col width="50" customWidth="1" min="9" max="9"/>
  </cols>
  <sheetData>
    <row r="1">
      <c r="A1" s="1" t="inlineStr">
        <is>
          <t>Nome fonte</t>
        </is>
      </c>
      <c r="B1" s="1" t="inlineStr">
        <is>
          <t>Tipo accesso</t>
        </is>
      </c>
      <c r="C1" s="1" t="inlineStr">
        <is>
          <t>Copertura geografica</t>
        </is>
      </c>
      <c r="D1" s="1" t="inlineStr">
        <is>
          <t>Tipo finanziamenti</t>
        </is>
      </c>
      <c r="E1" s="1" t="inlineStr">
        <is>
          <t>URL</t>
        </is>
      </c>
      <c r="F1" s="1" t="inlineStr">
        <is>
          <t>Ultimo aggiornamento riuscito</t>
        </is>
      </c>
      <c r="G1" s="1" t="inlineStr">
        <is>
          <t>Bandi trovati (totale)</t>
        </is>
      </c>
      <c r="H1" s="1" t="inlineStr">
        <is>
          <t>Bandi pertinenti (totale)</t>
        </is>
      </c>
      <c r="I1" s="1" t="inlineStr">
        <is>
          <t>Note</t>
        </is>
      </c>
    </row>
    <row r="2">
      <c r="A2" s="2" t="inlineStr">
        <is>
          <t>AIRAlzh – Associazione Italiana Ricerca Alzheimer</t>
        </is>
      </c>
      <c r="B2" s="2" t="inlineStr">
        <is>
          <t>Lettura pagine web</t>
        </is>
      </c>
      <c r="C2" s="2" t="inlineStr">
        <is>
          <t>Italia</t>
        </is>
      </c>
      <c r="D2" s="2" t="inlineStr">
        <is>
          <t>Charity</t>
        </is>
      </c>
      <c r="E2" s="2" t="inlineStr">
        <is>
          <t>https://www.airalzh.it/</t>
        </is>
      </c>
      <c r="F2" s="2" t="inlineStr">
        <is>
          <t>17/10/2026 14:58</t>
        </is>
      </c>
      <c r="G2" s="2" t="n">
        <v>1</v>
      </c>
      <c r="H2" s="2" t="n">
        <v>0</v>
      </c>
      <c r="I2" s="2" t="inlineStr">
        <is>
          <t>Ultima esecuzione: 1 elementi esaminati, 0 pertinenti</t>
        </is>
      </c>
    </row>
    <row r="3">
      <c r="A3" s="2" t="inlineStr">
        <is>
          <t>Alzheimer's Association</t>
        </is>
      </c>
      <c r="B3" s="2" t="inlineStr">
        <is>
          <t>Lettura pagine web</t>
        </is>
      </c>
      <c r="C3" s="2" t="inlineStr">
        <is>
          <t>Mondiale</t>
        </is>
      </c>
      <c r="D3" s="2" t="inlineStr">
        <is>
          <t>Charity</t>
        </is>
      </c>
      <c r="E3" s="2" t="inlineStr">
        <is>
          <t>https://www.alz.org/research</t>
        </is>
      </c>
      <c r="F3" s="2" t="inlineStr">
        <is>
          <t>17/10/2026 15:08</t>
        </is>
      </c>
      <c r="G3" s="2" t="n">
        <v>35</v>
      </c>
      <c r="H3" s="2" t="n">
        <v>21</v>
      </c>
      <c r="I3" s="2" t="inlineStr">
        <is>
          <t>Ultima esecuzione: 35 elementi esaminati, 21 pertinenti</t>
        </is>
      </c>
    </row>
    <row r="4">
      <c r="A4" s="2" t="inlineStr">
        <is>
          <t>Alzheimer's Research UK</t>
        </is>
      </c>
      <c r="B4" s="2" t="inlineStr">
        <is>
          <t>Lettura pagine web</t>
        </is>
      </c>
      <c r="C4" s="2" t="inlineStr">
        <is>
          <t>Regno Unito</t>
        </is>
      </c>
      <c r="D4" s="2" t="inlineStr">
        <is>
          <t>Charity</t>
        </is>
      </c>
      <c r="E4" s="2" t="inlineStr">
        <is>
          <t>https://www.alzheimersresearchuk.org/</t>
        </is>
      </c>
      <c r="F4" s="2" t="inlineStr">
        <is>
          <t>17/10/2026 15:06</t>
        </is>
      </c>
      <c r="G4" s="2" t="n">
        <v>1</v>
      </c>
      <c r="H4" s="2" t="n">
        <v>0</v>
      </c>
      <c r="I4" s="2" t="inlineStr">
        <is>
          <t>Ultima esecuzione: 1 elementi esaminati, 0 pertinenti</t>
        </is>
      </c>
    </row>
    <row r="5">
      <c r="A5" s="2" t="inlineStr">
        <is>
          <t>Alzheimer's Society</t>
        </is>
      </c>
      <c r="B5" s="2" t="inlineStr">
        <is>
          <t>Lettura pagine web</t>
        </is>
      </c>
      <c r="C5" s="2" t="inlineStr">
        <is>
          <t>Regno Unito</t>
        </is>
      </c>
      <c r="D5" s="2" t="inlineStr">
        <is>
          <t>Charity</t>
        </is>
      </c>
      <c r="E5" s="2" t="inlineStr">
        <is>
          <t>https://www.alzheimers.org.uk/research</t>
        </is>
      </c>
      <c r="F5" s="2" t="inlineStr">
        <is>
          <t>17/10/2026 15:06</t>
        </is>
      </c>
      <c r="G5" s="2" t="n">
        <v>10</v>
      </c>
      <c r="H5" s="2" t="n">
        <v>5</v>
      </c>
      <c r="I5" s="2" t="inlineStr">
        <is>
          <t>Ultima esecuzione: 10 elementi esaminati, 5 pertinenti</t>
        </is>
      </c>
    </row>
    <row r="6">
      <c r="A6" s="2" t="inlineStr">
        <is>
          <t>American Federation for Aging Research (AFAR)</t>
        </is>
      </c>
      <c r="B6" s="2" t="inlineStr">
        <is>
          <t>Lettura pagine web</t>
        </is>
      </c>
      <c r="C6" s="2" t="inlineStr">
        <is>
          <t>USA</t>
        </is>
      </c>
      <c r="D6" s="2" t="inlineStr">
        <is>
          <t>Fondazione privata</t>
        </is>
      </c>
      <c r="E6" s="2" t="inlineStr">
        <is>
          <t>https://www.afar.org/</t>
        </is>
      </c>
      <c r="F6" s="2" t="inlineStr">
        <is>
          <t>17/10/2026 15:08</t>
        </is>
      </c>
      <c r="G6" s="2" t="n">
        <v>1</v>
      </c>
      <c r="H6" s="2" t="n">
        <v>0</v>
      </c>
      <c r="I6" s="2" t="inlineStr">
        <is>
          <t>Ultima esecuzione: 1 elementi esaminati, 0 pertinenti</t>
        </is>
      </c>
    </row>
    <row r="7">
      <c r="A7" s="2" t="inlineStr">
        <is>
          <t>American Heart Association – Research</t>
        </is>
      </c>
      <c r="B7" s="2" t="inlineStr">
        <is>
          <t>Lettura pagine web</t>
        </is>
      </c>
      <c r="C7" s="2" t="inlineStr">
        <is>
          <t>USA</t>
        </is>
      </c>
      <c r="D7" s="2" t="inlineStr">
        <is>
          <t>Charity</t>
        </is>
      </c>
      <c r="E7" s="2" t="inlineStr">
        <is>
          <t>https://professional.heart.org/</t>
        </is>
      </c>
      <c r="F7" s="2" t="n"/>
      <c r="G7" s="2" t="n">
        <v>1</v>
      </c>
      <c r="H7" s="2" t="n">
        <v>0</v>
      </c>
      <c r="I7" s="2" t="inlineStr">
        <is>
          <t>Ultimo errore 17/10/2026: HTTP 403</t>
        </is>
      </c>
    </row>
    <row r="8">
      <c r="A8" s="2" t="inlineStr">
        <is>
          <t>Brain Canada</t>
        </is>
      </c>
      <c r="B8" s="2" t="inlineStr">
        <is>
          <t>Lettura pagine web</t>
        </is>
      </c>
      <c r="C8" s="2" t="inlineStr">
        <is>
          <t>Canada</t>
        </is>
      </c>
      <c r="D8" s="2" t="inlineStr">
        <is>
          <t>Fondazione privata</t>
        </is>
      </c>
      <c r="E8" s="2" t="inlineStr">
        <is>
          <t>https://braincanada.ca/</t>
        </is>
      </c>
      <c r="F8" s="2" t="inlineStr">
        <is>
          <t>17/10/2026 15:11</t>
        </is>
      </c>
      <c r="G8" s="2" t="n">
        <v>20</v>
      </c>
      <c r="H8" s="2" t="n">
        <v>9</v>
      </c>
      <c r="I8" s="2" t="inlineStr">
        <is>
          <t>Ultima esecuzione: 20 elementi esaminati, 9 pertinenti</t>
        </is>
      </c>
    </row>
    <row r="9">
      <c r="A9" s="2" t="inlineStr">
        <is>
          <t>Canadian Institutes of Health Research</t>
        </is>
      </c>
      <c r="B9" s="2" t="inlineStr">
        <is>
          <t>Lettura pagine web</t>
        </is>
      </c>
      <c r="C9" s="2" t="inlineStr">
        <is>
          <t>Canada</t>
        </is>
      </c>
      <c r="D9" s="2" t="inlineStr">
        <is>
          <t>Pubblico estero</t>
        </is>
      </c>
      <c r="E9" s="2" t="inlineStr">
        <is>
          <t>https://cihr-irsc.gc.ca/</t>
        </is>
      </c>
      <c r="F9" s="2" t="inlineStr">
        <is>
          <t>17/10/2026 15:10</t>
        </is>
      </c>
      <c r="G9" s="2" t="n">
        <v>1</v>
      </c>
      <c r="H9" s="2" t="n">
        <v>0</v>
      </c>
      <c r="I9" s="2" t="inlineStr">
        <is>
          <t>Ultima esecuzione: 1 elementi esaminati, 0 pertinenti</t>
        </is>
      </c>
    </row>
    <row r="10">
      <c r="A10" s="2" t="inlineStr">
        <is>
          <t>Compagnia di San Paolo</t>
        </is>
      </c>
      <c r="B10" s="2" t="inlineStr">
        <is>
          <t>Lettura pagine web</t>
        </is>
      </c>
      <c r="C10" s="2" t="inlineStr">
        <is>
          <t>Italia (Piemonte, Liguria)</t>
        </is>
      </c>
      <c r="D10" s="2" t="inlineStr">
        <is>
          <t>Fondazione bancaria</t>
        </is>
      </c>
      <c r="E10" s="2" t="inlineStr">
        <is>
          <t>https://www.compagniadisanpaolo.it/</t>
        </is>
      </c>
      <c r="F10" s="2" t="inlineStr">
        <is>
          <t>17/10/2026 14:52</t>
        </is>
      </c>
      <c r="G10" s="2" t="n">
        <v>35</v>
      </c>
      <c r="H10" s="2" t="n">
        <v>1</v>
      </c>
      <c r="I10" s="2" t="inlineStr">
        <is>
          <t>Ultima esecuzione: 35 elementi esaminati, 1 pertinenti</t>
        </is>
      </c>
    </row>
    <row r="11">
      <c r="A11" s="2" t="inlineStr">
        <is>
          <t>Dunhill Medical Trust</t>
        </is>
      </c>
      <c r="B11" s="2" t="inlineStr">
        <is>
          <t>Lettura pagine web</t>
        </is>
      </c>
      <c r="C11" s="2" t="inlineStr">
        <is>
          <t>Regno Unito</t>
        </is>
      </c>
      <c r="D11" s="2" t="inlineStr">
        <is>
          <t>Fondazione privata</t>
        </is>
      </c>
      <c r="E11" s="2" t="inlineStr">
        <is>
          <t>https://dunhillmedical.org.uk/</t>
        </is>
      </c>
      <c r="F11" s="2" t="inlineStr">
        <is>
          <t>17/10/2026 15:07</t>
        </is>
      </c>
      <c r="G11" s="2" t="n">
        <v>35</v>
      </c>
      <c r="H11" s="2" t="n">
        <v>9</v>
      </c>
      <c r="I11" s="2" t="inlineStr">
        <is>
          <t>Ultima esecuzione: 35 elementi esaminati, 9 pertinenti</t>
        </is>
      </c>
    </row>
    <row r="12">
      <c r="A12" s="2" t="inlineStr">
        <is>
          <t>EIT Health</t>
        </is>
      </c>
      <c r="B12" s="2" t="inlineStr">
        <is>
          <t>Lettura pagine web</t>
        </is>
      </c>
      <c r="C12" s="2" t="inlineStr">
        <is>
          <t>Europa</t>
        </is>
      </c>
      <c r="D12" s="2" t="inlineStr">
        <is>
          <t>Pubblico europeo</t>
        </is>
      </c>
      <c r="E12" s="2" t="inlineStr">
        <is>
          <t>https://eithealth.eu/</t>
        </is>
      </c>
      <c r="F12" s="2" t="inlineStr">
        <is>
          <t>17/10/2026 14:59</t>
        </is>
      </c>
      <c r="G12" s="2" t="n">
        <v>35</v>
      </c>
      <c r="H12" s="2" t="n">
        <v>0</v>
      </c>
      <c r="I12" s="2" t="inlineStr">
        <is>
          <t>Ultima esecuzione: 35 elementi esaminati, 0 pertinenti</t>
        </is>
      </c>
    </row>
    <row r="13">
      <c r="A13" s="2" t="inlineStr">
        <is>
          <t>ERA4Health</t>
        </is>
      </c>
      <c r="B13" s="2" t="inlineStr">
        <is>
          <t>Lettura pagine web</t>
        </is>
      </c>
      <c r="C13" s="2" t="inlineStr">
        <is>
          <t>Europa</t>
        </is>
      </c>
      <c r="D13" s="2" t="inlineStr">
        <is>
          <t>Pubblico europeo</t>
        </is>
      </c>
      <c r="E13" s="2" t="inlineStr">
        <is>
          <t>https://era4health.eu/</t>
        </is>
      </c>
      <c r="F13" s="2" t="inlineStr">
        <is>
          <t>17/10/2026 15:04</t>
        </is>
      </c>
      <c r="G13" s="2" t="n">
        <v>35</v>
      </c>
      <c r="H13" s="2" t="n">
        <v>0</v>
      </c>
      <c r="I13" s="2" t="inlineStr">
        <is>
          <t>Ultima esecuzione: 35 elementi esaminati, 0 pertinenti</t>
        </is>
      </c>
    </row>
    <row r="14">
      <c r="A14" s="2" t="inlineStr">
        <is>
          <t>EU Funding &amp; Tenders Portal</t>
        </is>
      </c>
      <c r="B14" s="2" t="inlineStr">
        <is>
          <t>API</t>
        </is>
      </c>
      <c r="C14" s="2" t="inlineStr">
        <is>
          <t>UE e paesi associati</t>
        </is>
      </c>
      <c r="D14" s="2" t="inlineStr">
        <is>
          <t>Pubblico</t>
        </is>
      </c>
      <c r="E14" s="2" t="inlineStr">
        <is>
          <t>https://ec.europa.eu/info/funding-tenders/opportunities/portal</t>
        </is>
      </c>
      <c r="F14" s="2" t="inlineStr">
        <is>
          <t>17/10/2026 14:42</t>
        </is>
      </c>
      <c r="G14" s="2" t="n">
        <v>1196</v>
      </c>
      <c r="H14" s="2" t="n">
        <v>72</v>
      </c>
      <c r="I14" s="2" t="inlineStr">
        <is>
          <t>Ultima esecuzione: 1196 elementi esaminati, 72 pertinenti</t>
        </is>
      </c>
    </row>
    <row r="15">
      <c r="A15" s="2" t="inlineStr">
        <is>
          <t>Fondazione CR Firenze</t>
        </is>
      </c>
      <c r="B15" s="2" t="inlineStr">
        <is>
          <t>Lettura pagine web</t>
        </is>
      </c>
      <c r="C15" s="2" t="inlineStr">
        <is>
          <t>Italia (Toscana)</t>
        </is>
      </c>
      <c r="D15" s="2" t="inlineStr">
        <is>
          <t>Fondazione bancaria</t>
        </is>
      </c>
      <c r="E15" s="2" t="inlineStr">
        <is>
          <t>https://www.fondazionecrfirenze.it/</t>
        </is>
      </c>
      <c r="F15" s="2" t="inlineStr">
        <is>
          <t>17/10/2026 14:54</t>
        </is>
      </c>
      <c r="G15" s="2" t="n">
        <v>35</v>
      </c>
      <c r="H15" s="2" t="n">
        <v>3</v>
      </c>
      <c r="I15" s="2" t="inlineStr">
        <is>
          <t>Ultima esecuzione: 35 elementi esaminati, 3 pertinenti</t>
        </is>
      </c>
    </row>
    <row r="16">
      <c r="A16" s="2" t="inlineStr">
        <is>
          <t>Fondazione CRT</t>
        </is>
      </c>
      <c r="B16" s="2" t="inlineStr">
        <is>
          <t>Lettura pagine web</t>
        </is>
      </c>
      <c r="C16" s="2" t="inlineStr">
        <is>
          <t>Italia (Piemonte, Valle d'Aosta)</t>
        </is>
      </c>
      <c r="D16" s="2" t="inlineStr">
        <is>
          <t>Fondazione bancaria</t>
        </is>
      </c>
      <c r="E16" s="2" t="inlineStr">
        <is>
          <t>https://www.fondazionecrt.it/</t>
        </is>
      </c>
      <c r="F16" s="2" t="inlineStr">
        <is>
          <t>17/10/2026 14:53</t>
        </is>
      </c>
      <c r="G16" s="2" t="n">
        <v>35</v>
      </c>
      <c r="H16" s="2" t="n">
        <v>3</v>
      </c>
      <c r="I16" s="2" t="inlineStr">
        <is>
          <t>Ultima esecuzione: 35 elementi esaminati, 3 pertinenti</t>
        </is>
      </c>
    </row>
    <row r="17">
      <c r="A17" s="2" t="inlineStr">
        <is>
          <t>Fondazione Cariparo</t>
        </is>
      </c>
      <c r="B17" s="2" t="inlineStr">
        <is>
          <t>Lettura pagine web</t>
        </is>
      </c>
      <c r="C17" s="2" t="inlineStr">
        <is>
          <t>Italia (Veneto)</t>
        </is>
      </c>
      <c r="D17" s="2" t="inlineStr">
        <is>
          <t>Fondazione bancaria</t>
        </is>
      </c>
      <c r="E17" s="2" t="inlineStr">
        <is>
          <t>https://www.fondazionecariparo.it/</t>
        </is>
      </c>
      <c r="F17" s="2" t="inlineStr">
        <is>
          <t>17/10/2026 14:57</t>
        </is>
      </c>
      <c r="G17" s="2" t="n">
        <v>35</v>
      </c>
      <c r="H17" s="2" t="n">
        <v>2</v>
      </c>
      <c r="I17" s="2" t="inlineStr">
        <is>
          <t>Ultima esecuzione: 35 elementi esaminati, 2 pertinenti</t>
        </is>
      </c>
    </row>
    <row r="18">
      <c r="A18" s="2" t="inlineStr">
        <is>
          <t>Fondazione Cariplo</t>
        </is>
      </c>
      <c r="B18" s="2" t="inlineStr">
        <is>
          <t>Lettura pagine web</t>
        </is>
      </c>
      <c r="C18" s="2" t="inlineStr">
        <is>
          <t>Italia (Lombardia)</t>
        </is>
      </c>
      <c r="D18" s="2" t="inlineStr">
        <is>
          <t>Fondazione bancaria</t>
        </is>
      </c>
      <c r="E18" s="2" t="inlineStr">
        <is>
          <t>https://www.fondazionecariplo.it/</t>
        </is>
      </c>
      <c r="F18" s="2" t="inlineStr">
        <is>
          <t>17/10/2026 14:51</t>
        </is>
      </c>
      <c r="G18" s="2" t="n">
        <v>35</v>
      </c>
      <c r="H18" s="2" t="n">
        <v>2</v>
      </c>
      <c r="I18" s="2" t="inlineStr">
        <is>
          <t>Ultima esecuzione: 35 elementi esaminati, 2 pertinenti</t>
        </is>
      </c>
    </row>
    <row r="19">
      <c r="A19" s="2" t="inlineStr">
        <is>
          <t>Fondazione Cariverona</t>
        </is>
      </c>
      <c r="B19" s="2" t="inlineStr">
        <is>
          <t>Lettura pagine web</t>
        </is>
      </c>
      <c r="C19" s="2" t="inlineStr">
        <is>
          <t>Italia (Veneto, Lombardia)</t>
        </is>
      </c>
      <c r="D19" s="2" t="inlineStr">
        <is>
          <t>Fondazione bancaria</t>
        </is>
      </c>
      <c r="E19" s="2" t="inlineStr">
        <is>
          <t>https://www.fondazionecariverona.org/</t>
        </is>
      </c>
      <c r="F19" s="2" t="inlineStr">
        <is>
          <t>17/10/2026 14:58</t>
        </is>
      </c>
      <c r="G19" s="2" t="n">
        <v>35</v>
      </c>
      <c r="H19" s="2" t="n">
        <v>0</v>
      </c>
      <c r="I19" s="2" t="inlineStr">
        <is>
          <t>Ultima esecuzione: 35 elementi esaminati, 0 pertinenti</t>
        </is>
      </c>
    </row>
    <row r="20">
      <c r="A20" s="2" t="inlineStr">
        <is>
          <t>Fondazione Umberto Veronesi</t>
        </is>
      </c>
      <c r="B20" s="2" t="inlineStr">
        <is>
          <t>Lettura pagine web</t>
        </is>
      </c>
      <c r="C20" s="2" t="inlineStr">
        <is>
          <t>Italia</t>
        </is>
      </c>
      <c r="D20" s="2" t="inlineStr">
        <is>
          <t>Fondazione privata</t>
        </is>
      </c>
      <c r="E20" s="2" t="inlineStr">
        <is>
          <t>https://www.fondazioneveronesi.it/</t>
        </is>
      </c>
      <c r="F20" s="2" t="inlineStr">
        <is>
          <t>17/10/2026 14:58</t>
        </is>
      </c>
      <c r="G20" s="2" t="n">
        <v>35</v>
      </c>
      <c r="H20" s="2" t="n">
        <v>0</v>
      </c>
      <c r="I20" s="2" t="inlineStr">
        <is>
          <t>Ultima esecuzione: 35 elementi esaminati, 0 pertinenti</t>
        </is>
      </c>
    </row>
    <row r="21">
      <c r="A21" s="2" t="inlineStr">
        <is>
          <t>Foundation for Physical Therapy Research</t>
        </is>
      </c>
      <c r="B21" s="2" t="inlineStr">
        <is>
          <t>Lettura pagine web</t>
        </is>
      </c>
      <c r="C21" s="2" t="inlineStr">
        <is>
          <t>USA</t>
        </is>
      </c>
      <c r="D21" s="2" t="inlineStr">
        <is>
          <t>Fondazione privata</t>
        </is>
      </c>
      <c r="E21" s="2" t="inlineStr">
        <is>
          <t>https://foundation4pt.org/</t>
        </is>
      </c>
      <c r="F21" s="2" t="inlineStr">
        <is>
          <t>17/10/2026 15:10</t>
        </is>
      </c>
      <c r="G21" s="2" t="n">
        <v>31</v>
      </c>
      <c r="H21" s="2" t="n">
        <v>16</v>
      </c>
      <c r="I21" s="2" t="inlineStr">
        <is>
          <t>Ultima esecuzione: 31 elementi esaminati, 16 pertinenti</t>
        </is>
      </c>
    </row>
    <row r="22">
      <c r="A22" s="2" t="inlineStr">
        <is>
          <t>Grants.gov (USA, incluso NIH)</t>
        </is>
      </c>
      <c r="B22" s="2" t="inlineStr">
        <is>
          <t>API</t>
        </is>
      </c>
      <c r="C22" s="2" t="inlineStr">
        <is>
          <t>USA (alcuni aperti a enti esteri)</t>
        </is>
      </c>
      <c r="D22" s="2" t="inlineStr">
        <is>
          <t>Pubblico</t>
        </is>
      </c>
      <c r="E22" s="2" t="inlineStr">
        <is>
          <t>https://www.grants.gov</t>
        </is>
      </c>
      <c r="F22" s="2" t="inlineStr">
        <is>
          <t>17/10/2026 14:47</t>
        </is>
      </c>
      <c r="G22" s="2" t="n">
        <v>832</v>
      </c>
      <c r="H22" s="2" t="n">
        <v>99</v>
      </c>
      <c r="I22" s="2" t="inlineStr">
        <is>
          <t>Ultima esecuzione: 832 elementi esaminati, 99 pertinenti</t>
        </is>
      </c>
    </row>
    <row r="23">
      <c r="A23" s="2" t="inlineStr">
        <is>
          <t>INAIL – Ricerca</t>
        </is>
      </c>
      <c r="B23" s="2" t="inlineStr">
        <is>
          <t>Lettura pagine web</t>
        </is>
      </c>
      <c r="C23" s="2" t="inlineStr">
        <is>
          <t>Italia</t>
        </is>
      </c>
      <c r="D23" s="2" t="inlineStr">
        <is>
          <t>Pubblico nazionale</t>
        </is>
      </c>
      <c r="E23" s="2" t="inlineStr">
        <is>
          <t>https://www.inail.it/</t>
        </is>
      </c>
      <c r="F23" s="2" t="inlineStr">
        <is>
          <t>17/10/2026 14:49</t>
        </is>
      </c>
      <c r="G23" s="2" t="n">
        <v>35</v>
      </c>
      <c r="H23" s="2" t="n">
        <v>0</v>
      </c>
      <c r="I23" s="2" t="inlineStr">
        <is>
          <t>Ultima esecuzione: 35 elementi esaminati, 0 pertinenti</t>
        </is>
      </c>
    </row>
    <row r="24">
      <c r="A24" s="2" t="inlineStr">
        <is>
          <t>JPND – EU Joint Programme Neurodegenerative Disease</t>
        </is>
      </c>
      <c r="B24" s="2" t="inlineStr">
        <is>
          <t>Lettura pagine web</t>
        </is>
      </c>
      <c r="C24" s="2" t="inlineStr">
        <is>
          <t>Europa</t>
        </is>
      </c>
      <c r="D24" s="2" t="inlineStr">
        <is>
          <t>Pubblico europeo</t>
        </is>
      </c>
      <c r="E24" s="2" t="inlineStr">
        <is>
          <t>https://neurodegenerationresearch.eu/</t>
        </is>
      </c>
      <c r="F24" s="2" t="inlineStr">
        <is>
          <t>17/10/2026 14:59</t>
        </is>
      </c>
      <c r="G24" s="2" t="n">
        <v>9</v>
      </c>
      <c r="H24" s="2" t="n">
        <v>0</v>
      </c>
      <c r="I24" s="2" t="inlineStr">
        <is>
          <t>Ultima esecuzione: 9 elementi esaminati, 0 pertinenti</t>
        </is>
      </c>
    </row>
    <row r="25">
      <c r="A25" s="2" t="inlineStr">
        <is>
          <t>Lazio Innova – Bandi</t>
        </is>
      </c>
      <c r="B25" s="2" t="inlineStr">
        <is>
          <t>Lettura pagine web</t>
        </is>
      </c>
      <c r="C25" s="2" t="inlineStr">
        <is>
          <t>Lazio</t>
        </is>
      </c>
      <c r="D25" s="2" t="inlineStr">
        <is>
          <t>Pubblico regionale</t>
        </is>
      </c>
      <c r="E25" s="2" t="inlineStr">
        <is>
          <t>https://www.lazioinnova.it/</t>
        </is>
      </c>
      <c r="F25" s="2" t="inlineStr">
        <is>
          <t>17/10/2026 14:50</t>
        </is>
      </c>
      <c r="G25" s="2" t="n">
        <v>35</v>
      </c>
      <c r="H25" s="2" t="n">
        <v>0</v>
      </c>
      <c r="I25" s="2" t="inlineStr">
        <is>
          <t>Ultima esecuzione: 35 elementi esaminati, 0 pertinenti</t>
        </is>
      </c>
    </row>
    <row r="26">
      <c r="A26" s="2" t="inlineStr">
        <is>
          <t>Michael J. Fox Foundation</t>
        </is>
      </c>
      <c r="B26" s="2" t="inlineStr">
        <is>
          <t>Lettura pagine web</t>
        </is>
      </c>
      <c r="C26" s="2" t="inlineStr">
        <is>
          <t>Mondiale</t>
        </is>
      </c>
      <c r="D26" s="2" t="inlineStr">
        <is>
          <t>Fondazione privata</t>
        </is>
      </c>
      <c r="E26" s="2" t="inlineStr">
        <is>
          <t>https://www.michaeljfox.org/</t>
        </is>
      </c>
      <c r="F26" s="2" t="inlineStr">
        <is>
          <t>17/10/2026 15:07</t>
        </is>
      </c>
      <c r="G26" s="2" t="n">
        <v>35</v>
      </c>
      <c r="H26" s="2" t="n">
        <v>21</v>
      </c>
      <c r="I26" s="2" t="inlineStr">
        <is>
          <t>Ultima esecuzione: 35 elementi esaminati, 21 pertinenti</t>
        </is>
      </c>
    </row>
    <row r="27">
      <c r="A27" s="2" t="inlineStr">
        <is>
          <t>Ministero dell'Università e della Ricerca</t>
        </is>
      </c>
      <c r="B27" s="2" t="inlineStr">
        <is>
          <t>Lettura pagine web</t>
        </is>
      </c>
      <c r="C27" s="2" t="inlineStr">
        <is>
          <t>Italia</t>
        </is>
      </c>
      <c r="D27" s="2" t="inlineStr">
        <is>
          <t>Pubblico nazionale</t>
        </is>
      </c>
      <c r="E27" s="2" t="inlineStr">
        <is>
          <t>https://www.mur.gov.it/</t>
        </is>
      </c>
      <c r="F27" s="2" t="inlineStr">
        <is>
          <t>17/10/2026 14:48</t>
        </is>
      </c>
      <c r="G27" s="2" t="n">
        <v>35</v>
      </c>
      <c r="H27" s="2" t="n">
        <v>0</v>
      </c>
      <c r="I27" s="2" t="inlineStr">
        <is>
          <t>Ultima esecuzione: 35 elementi esaminati, 0 pertinenti</t>
        </is>
      </c>
    </row>
    <row r="28">
      <c r="A28" s="2" t="inlineStr">
        <is>
          <t>Ministero della Salute – Ricerca sanitaria</t>
        </is>
      </c>
      <c r="B28" s="2" t="inlineStr">
        <is>
          <t>Lettura pagine web</t>
        </is>
      </c>
      <c r="C28" s="2" t="inlineStr">
        <is>
          <t>Italia</t>
        </is>
      </c>
      <c r="D28" s="2" t="inlineStr">
        <is>
          <t>Pubblico nazionale</t>
        </is>
      </c>
      <c r="E28" s="2" t="inlineStr">
        <is>
          <t>https://www.salute.gov.it/</t>
        </is>
      </c>
      <c r="F28" s="2" t="inlineStr">
        <is>
          <t>17/10/2026 14:47</t>
        </is>
      </c>
      <c r="G28" s="2" t="n">
        <v>1</v>
      </c>
      <c r="H28" s="2" t="n">
        <v>0</v>
      </c>
      <c r="I28" s="2" t="inlineStr">
        <is>
          <t>Ultima esecuzione: 1 elementi esaminati, 0 pertinenti</t>
        </is>
      </c>
    </row>
    <row r="29">
      <c r="A29" s="2" t="inlineStr">
        <is>
          <t>NHMRC</t>
        </is>
      </c>
      <c r="B29" s="2" t="inlineStr">
        <is>
          <t>Lettura pagine web</t>
        </is>
      </c>
      <c r="C29" s="2" t="inlineStr">
        <is>
          <t>Australia</t>
        </is>
      </c>
      <c r="D29" s="2" t="inlineStr">
        <is>
          <t>Pubblico estero</t>
        </is>
      </c>
      <c r="E29" s="2" t="inlineStr">
        <is>
          <t>https://www.nhmrc.gov.au/funding</t>
        </is>
      </c>
      <c r="F29" s="2" t="n"/>
      <c r="G29" s="2" t="n">
        <v>0</v>
      </c>
      <c r="H29" s="2" t="n">
        <v>0</v>
      </c>
      <c r="I29" s="2" t="inlineStr">
        <is>
          <t>Ultimo errore 17/10/2026: irraggiungibile: HTTPSConnectionPool(host='www.nhmrc.gov.au', port=443): Read timed out. (read timeout=45)</t>
        </is>
      </c>
    </row>
    <row r="30">
      <c r="A30" s="2" t="inlineStr">
        <is>
          <t>NIHR</t>
        </is>
      </c>
      <c r="B30" s="2" t="inlineStr">
        <is>
          <t>Lettura pagine web</t>
        </is>
      </c>
      <c r="C30" s="2" t="inlineStr">
        <is>
          <t>Regno Unito</t>
        </is>
      </c>
      <c r="D30" s="2" t="inlineStr">
        <is>
          <t>Pubblico estero</t>
        </is>
      </c>
      <c r="E30" s="2" t="inlineStr">
        <is>
          <t>https://www.nihr.ac.uk/</t>
        </is>
      </c>
      <c r="F30" s="2" t="n"/>
      <c r="G30" s="2" t="n">
        <v>1</v>
      </c>
      <c r="H30" s="2" t="n">
        <v>0</v>
      </c>
      <c r="I30" s="2" t="inlineStr">
        <is>
          <t>Ultimo errore 17/10/2026: HTTP 403</t>
        </is>
      </c>
    </row>
    <row r="31">
      <c r="A31" s="2" t="inlineStr">
        <is>
          <t>PCORI</t>
        </is>
      </c>
      <c r="B31" s="2" t="inlineStr">
        <is>
          <t>Lettura pagine web</t>
        </is>
      </c>
      <c r="C31" s="2" t="inlineStr">
        <is>
          <t>USA</t>
        </is>
      </c>
      <c r="D31" s="2" t="inlineStr">
        <is>
          <t>Fondazione privata</t>
        </is>
      </c>
      <c r="E31" s="2" t="inlineStr">
        <is>
          <t>https://www.pcori.org/funding-opportunities</t>
        </is>
      </c>
      <c r="F31" s="2" t="inlineStr">
        <is>
          <t>17/10/2026 15:09</t>
        </is>
      </c>
      <c r="G31" s="2" t="n">
        <v>35</v>
      </c>
      <c r="H31" s="2" t="n">
        <v>0</v>
      </c>
      <c r="I31" s="2" t="inlineStr">
        <is>
          <t>Ultima esecuzione: 35 elementi esaminati, 0 pertinenti</t>
        </is>
      </c>
    </row>
    <row r="32">
      <c r="A32" s="2" t="inlineStr">
        <is>
          <t>Parkinson's Foundation</t>
        </is>
      </c>
      <c r="B32" s="2" t="inlineStr">
        <is>
          <t>Lettura pagine web</t>
        </is>
      </c>
      <c r="C32" s="2" t="inlineStr">
        <is>
          <t>Mondiale</t>
        </is>
      </c>
      <c r="D32" s="2" t="inlineStr">
        <is>
          <t>Fondazione privata</t>
        </is>
      </c>
      <c r="E32" s="2" t="inlineStr">
        <is>
          <t>https://www.parkinson.org/research</t>
        </is>
      </c>
      <c r="F32" s="2" t="inlineStr">
        <is>
          <t>17/10/2026 15:08</t>
        </is>
      </c>
      <c r="G32" s="2" t="n">
        <v>19</v>
      </c>
      <c r="H32" s="2" t="n">
        <v>8</v>
      </c>
      <c r="I32" s="2" t="inlineStr">
        <is>
          <t>Ultima esecuzione: 19 elementi esaminati, 8 pertinenti</t>
        </is>
      </c>
    </row>
    <row r="33">
      <c r="A33" s="2" t="inlineStr">
        <is>
          <t>Parkinson's UK</t>
        </is>
      </c>
      <c r="B33" s="2" t="inlineStr">
        <is>
          <t>Lettura pagine web</t>
        </is>
      </c>
      <c r="C33" s="2" t="inlineStr">
        <is>
          <t>Regno Unito</t>
        </is>
      </c>
      <c r="D33" s="2" t="inlineStr">
        <is>
          <t>Charity</t>
        </is>
      </c>
      <c r="E33" s="2" t="inlineStr">
        <is>
          <t>https://www.parkinsons.org.uk/research</t>
        </is>
      </c>
      <c r="F33" s="2" t="inlineStr">
        <is>
          <t>17/10/2026 15:06</t>
        </is>
      </c>
      <c r="G33" s="2" t="n">
        <v>14</v>
      </c>
      <c r="H33" s="2" t="n">
        <v>6</v>
      </c>
      <c r="I33" s="2" t="inlineStr">
        <is>
          <t>Ultima esecuzione: 14 elementi esaminati, 6 pertinenti</t>
        </is>
      </c>
    </row>
    <row r="34">
      <c r="A34" s="2" t="inlineStr">
        <is>
          <t>Regione Lombardia – Bandi</t>
        </is>
      </c>
      <c r="B34" s="2" t="inlineStr">
        <is>
          <t>Lettura pagine web</t>
        </is>
      </c>
      <c r="C34" s="2" t="inlineStr">
        <is>
          <t>Lombardia</t>
        </is>
      </c>
      <c r="D34" s="2" t="inlineStr">
        <is>
          <t>Pubblico regionale</t>
        </is>
      </c>
      <c r="E34" s="2" t="inlineStr">
        <is>
          <t>https://www.bandi.regione.lombardia.it/</t>
        </is>
      </c>
      <c r="F34" s="2" t="inlineStr">
        <is>
          <t>17/10/2026 14:49</t>
        </is>
      </c>
      <c r="G34" s="2" t="n">
        <v>1</v>
      </c>
      <c r="H34" s="2" t="n">
        <v>0</v>
      </c>
      <c r="I34" s="2" t="inlineStr">
        <is>
          <t>Ultima esecuzione: 1 elementi esaminati, 0 pertinenti</t>
        </is>
      </c>
    </row>
    <row r="35">
      <c r="A35" s="2" t="inlineStr">
        <is>
          <t>Regione Toscana – Bandi</t>
        </is>
      </c>
      <c r="B35" s="2" t="inlineStr">
        <is>
          <t>Lettura pagine web</t>
        </is>
      </c>
      <c r="C35" s="2" t="inlineStr">
        <is>
          <t>Toscana</t>
        </is>
      </c>
      <c r="D35" s="2" t="inlineStr">
        <is>
          <t>Pubblico regionale</t>
        </is>
      </c>
      <c r="E35" s="2" t="inlineStr">
        <is>
          <t>https://www.regione.toscana.it/</t>
        </is>
      </c>
      <c r="F35" s="2" t="inlineStr">
        <is>
          <t>17/10/2026 14:49</t>
        </is>
      </c>
      <c r="G35" s="2" t="n">
        <v>35</v>
      </c>
      <c r="H35" s="2" t="n">
        <v>0</v>
      </c>
      <c r="I35" s="2" t="inlineStr">
        <is>
          <t>Ultima esecuzione: 35 elementi esaminati, 0 pertinenti</t>
        </is>
      </c>
    </row>
    <row r="36">
      <c r="A36" s="2" t="inlineStr">
        <is>
          <t>Stroke Association</t>
        </is>
      </c>
      <c r="B36" s="2" t="inlineStr">
        <is>
          <t>Lettura pagine web</t>
        </is>
      </c>
      <c r="C36" s="2" t="inlineStr">
        <is>
          <t>Regno Unito</t>
        </is>
      </c>
      <c r="D36" s="2" t="inlineStr">
        <is>
          <t>Charity</t>
        </is>
      </c>
      <c r="E36" s="2" t="inlineStr">
        <is>
          <t>https://www.stroke.org.uk/</t>
        </is>
      </c>
      <c r="F36" s="2" t="n"/>
      <c r="G36" s="2" t="n">
        <v>1</v>
      </c>
      <c r="H36" s="2" t="n">
        <v>0</v>
      </c>
      <c r="I36" s="2" t="inlineStr">
        <is>
          <t>Ultimo errore 17/10/2026: HTTP 403</t>
        </is>
      </c>
    </row>
    <row r="37">
      <c r="A37" s="2" t="inlineStr">
        <is>
          <t>Transforming Health and Care Systems (THCS)</t>
        </is>
      </c>
      <c r="B37" s="2" t="inlineStr">
        <is>
          <t>Lettura pagine web</t>
        </is>
      </c>
      <c r="C37" s="2" t="inlineStr">
        <is>
          <t>Europa</t>
        </is>
      </c>
      <c r="D37" s="2" t="inlineStr">
        <is>
          <t>Pubblico europeo</t>
        </is>
      </c>
      <c r="E37" s="2" t="inlineStr">
        <is>
          <t>https://www.thcspartnership.eu/</t>
        </is>
      </c>
      <c r="F37" s="2" t="inlineStr">
        <is>
          <t>17/10/2026 15:05</t>
        </is>
      </c>
      <c r="G37" s="2" t="n">
        <v>14</v>
      </c>
      <c r="H37" s="2" t="n">
        <v>0</v>
      </c>
      <c r="I37" s="2" t="inlineStr">
        <is>
          <t>Ultima esecuzione: 14 elementi esaminati, 0 pertinenti</t>
        </is>
      </c>
    </row>
    <row r="38">
      <c r="A38" s="2" t="inlineStr">
        <is>
          <t>UKRI – Funding opportunities</t>
        </is>
      </c>
      <c r="B38" s="2" t="inlineStr">
        <is>
          <t>Lettura pagine web</t>
        </is>
      </c>
      <c r="C38" s="2" t="inlineStr">
        <is>
          <t>Regno Unito (alcuni aperti a enti esteri)</t>
        </is>
      </c>
      <c r="D38" s="2" t="inlineStr">
        <is>
          <t>Pubblico estero</t>
        </is>
      </c>
      <c r="E38" s="2" t="inlineStr">
        <is>
          <t>https://www.ukri.org/opportunity/</t>
        </is>
      </c>
      <c r="F38" s="2" t="inlineStr">
        <is>
          <t>17/10/2026 15:05</t>
        </is>
      </c>
      <c r="G38" s="2" t="n">
        <v>35</v>
      </c>
      <c r="H38" s="2" t="n">
        <v>0</v>
      </c>
      <c r="I38" s="2" t="inlineStr">
        <is>
          <t>Ultima esecuzione: 35 elementi esaminati, 0 pertinenti</t>
        </is>
      </c>
    </row>
    <row r="39">
      <c r="A39" s="2" t="inlineStr">
        <is>
          <t>Wellcome</t>
        </is>
      </c>
      <c r="B39" s="2" t="inlineStr">
        <is>
          <t>Lettura pagine web</t>
        </is>
      </c>
      <c r="C39" s="2" t="inlineStr">
        <is>
          <t>Mondiale</t>
        </is>
      </c>
      <c r="D39" s="2" t="inlineStr">
        <is>
          <t>Fondazione privata</t>
        </is>
      </c>
      <c r="E39" s="2" t="inlineStr">
        <is>
          <t>https://wellcome.org/research-funding</t>
        </is>
      </c>
      <c r="F39" s="2" t="inlineStr">
        <is>
          <t>17/10/2026 15:06</t>
        </is>
      </c>
      <c r="G39" s="2" t="n">
        <v>35</v>
      </c>
      <c r="H39" s="2" t="n">
        <v>0</v>
      </c>
      <c r="I39" s="2" t="inlineStr">
        <is>
          <t>Ultima esecuzione: 35 elementi esaminati, 0 pertinenti</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
  <sheetViews>
    <sheetView workbookViewId="0">
      <selection activeCell="A1" sqref="A1"/>
    </sheetView>
  </sheetViews>
  <sheetFormatPr baseColWidth="8" defaultRowHeight="15"/>
  <cols>
    <col width="20" customWidth="1" min="1" max="1"/>
    <col width="14" customWidth="1" min="2" max="2"/>
    <col width="14" customWidth="1" min="3" max="3"/>
    <col width="14" customWidth="1" min="4" max="4"/>
    <col width="80" customWidth="1" min="5" max="5"/>
    <col width="12" customWidth="1" min="6" max="6"/>
  </cols>
  <sheetData>
    <row r="1">
      <c r="A1" s="8" t="inlineStr">
        <is>
          <t>Data esecuzione</t>
        </is>
      </c>
      <c r="B1" s="8" t="inlineStr">
        <is>
          <t>Bandi esaminati</t>
        </is>
      </c>
      <c r="C1" s="8" t="inlineStr">
        <is>
          <t>Bandi nuovi aggiunti</t>
        </is>
      </c>
      <c r="D1" s="8" t="inlineStr">
        <is>
          <t>Bandi rimossi</t>
        </is>
      </c>
      <c r="E1" s="8" t="inlineStr">
        <is>
          <t>Errori</t>
        </is>
      </c>
      <c r="F1" s="8" t="inlineStr">
        <is>
          <t>Durata (minuti)</t>
        </is>
      </c>
    </row>
    <row r="2">
      <c r="A2" s="3" t="inlineStr">
        <is>
          <t>2026-10-17 15:58</t>
        </is>
      </c>
      <c r="B2" s="3" t="n">
        <v>2819</v>
      </c>
      <c r="C2" s="3" t="n">
        <v>266</v>
      </c>
      <c r="D2" s="3" t="n">
        <v>0</v>
      </c>
      <c r="E2" s="3" t="inlineStr">
        <is>
          <t>NIHR: HTTP 403; Stroke Association: HTTP 403; American Heart Association – Research: HTTP 403; NHMRC: irraggiungibile: HTTPSConnectionPool(host='www.nhmrc.gov.au', port=443): Read timed out. (read timeout=45)</t>
        </is>
      </c>
      <c r="F2" s="3" t="n">
        <v>76.5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2026-10-17T15:58:56Z</dcterms:created>
  <dcterms:modified xmlns:dcterms="http://purl.org/dc/terms/" xmlns:xsi="http://www.w3.org/2001/XMLSchema-instance" xsi:type="dcterms:W3CDTF">2026-10-17T15:58:56Z</dcterms:modified>
</cp:coreProperties>
</file>